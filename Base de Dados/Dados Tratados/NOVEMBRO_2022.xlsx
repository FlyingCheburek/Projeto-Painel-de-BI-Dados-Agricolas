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\"/>
    </mc:Choice>
  </mc:AlternateContent>
  <xr:revisionPtr revIDLastSave="0" documentId="13_ncr:1_{099569F2-7D62-490E-8983-B9AD6D47FEEF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AREA_POR_PRODUTO" sheetId="1" r:id="rId1"/>
    <sheet name="AREA_POR_REGIAO" sheetId="2" r:id="rId2"/>
    <sheet name="PRODUTIVIDADE_POR_PRODUTO" sheetId="3" r:id="rId3"/>
    <sheet name="PRODUTIVIDADE_POR_REGIAO" sheetId="4" r:id="rId4"/>
    <sheet name="PRODUCAO_POR_PRODUTO" sheetId="5" r:id="rId5"/>
    <sheet name="PRODUCAO_POR_REGIAO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6" i="2" l="1"/>
  <c r="Y35" i="2"/>
  <c r="Y34" i="2"/>
  <c r="Y33" i="2"/>
  <c r="Y32" i="2"/>
  <c r="Y31" i="2"/>
  <c r="Y30" i="2"/>
  <c r="Y29" i="2"/>
  <c r="Y28" i="2"/>
  <c r="Y27" i="2"/>
  <c r="Y26" i="2"/>
  <c r="Y25" i="2"/>
  <c r="Y24" i="2"/>
  <c r="Y23" i="2"/>
  <c r="Y22" i="2"/>
  <c r="Y21" i="2"/>
  <c r="Y20" i="2"/>
  <c r="Y19" i="2"/>
  <c r="Y18" i="2"/>
  <c r="Y17" i="2"/>
  <c r="Y16" i="2"/>
  <c r="Y15" i="2"/>
  <c r="Y14" i="2"/>
  <c r="Y13" i="2"/>
  <c r="Y12" i="2"/>
  <c r="Y11" i="2"/>
  <c r="Y10" i="2"/>
  <c r="Y9" i="2"/>
  <c r="Y8" i="2"/>
  <c r="Y7" i="2"/>
  <c r="Y6" i="2"/>
  <c r="Y5" i="2"/>
  <c r="Y4" i="2"/>
  <c r="Y3" i="2"/>
  <c r="Y2" i="2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B25" i="1"/>
</calcChain>
</file>

<file path=xl/sharedStrings.xml><?xml version="1.0" encoding="utf-8"?>
<sst xmlns="http://schemas.openxmlformats.org/spreadsheetml/2006/main" count="732" uniqueCount="66">
  <si>
    <t>PRODUTO</t>
  </si>
  <si>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</si>
  <si>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</si>
  <si>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</si>
  <si>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</si>
  <si>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</si>
  <si>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</si>
  <si>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</si>
  <si>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</si>
  <si>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</si>
  <si>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</si>
  <si>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</si>
  <si>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</si>
  <si>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</si>
  <si>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</si>
  <si>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</si>
  <si>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</si>
  <si>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</si>
  <si>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</si>
  <si>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</si>
  <si>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</si>
  <si>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</si>
  <si>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</si>
  <si>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</si>
  <si>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</si>
  <si>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</si>
  <si>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</si>
  <si>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</si>
  <si>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</si>
  <si>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</si>
  <si>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</si>
  <si>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</si>
  <si>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</si>
  <si>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</si>
  <si>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</si>
  <si>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</si>
  <si>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</si>
  <si>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</si>
  <si>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</si>
  <si>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</si>
  <si>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</si>
  <si>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</si>
  <si>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</si>
  <si>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</si>
  <si>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</si>
  <si>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</si>
  <si>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</si>
  <si>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</si>
  <si>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</si>
  <si>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</si>
  <si>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</si>
  <si>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</si>
  <si>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</si>
  <si>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</si>
  <si>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</si>
  <si>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</si>
  <si>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</si>
  <si>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</si>
  <si>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</si>
  <si>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</si>
  <si>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</si>
  <si>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</si>
  <si>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</si>
  <si>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2022/23</t>
  </si>
  <si>
    <t>REGIÃO</t>
  </si>
  <si>
    <t>NOVEMBRO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</si>
</sst>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193">
    <dxf>
      <numFmt numFmtId="30" formatCode="@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7D321A-43AE-4A82-BD55-3D36C41B7E32}" name="AREA_POR_PRODUTO" displayName="AREA_POR_PRODUTO" ref="A1:AM25" totalsRowShown="0">
  <autoFilter ref="A1:AM25" xr:uid="{5B7D321A-43AE-4A82-BD55-3D36C41B7E32}"/>
  <tableColumns count="39">
    <tableColumn id="1" xr3:uid="{5E4BCC7B-BD3D-4850-9D02-5BDA26FED269}" name="PRODUTO"/>
    <tableColumn id="2" xr3:uid="{CA31088B-0A58-4A64-AE47-76C708B3947A}" name="NORTE" dataDxfId="192"/>
    <tableColumn id="3" xr3:uid="{49129A23-8E4D-43BD-A688-921DB22B8F95}" name="RR" dataDxfId="191"/>
    <tableColumn id="4" xr3:uid="{A165E71E-265F-4003-AA0E-8E9F26D12909}" name="RO" dataDxfId="190"/>
    <tableColumn id="5" xr3:uid="{A386A7C6-C111-4CC7-8C16-FD58B8F0562F}" name="AC" dataDxfId="189"/>
    <tableColumn id="6" xr3:uid="{9B733D29-A480-4FD0-A166-98AAD1AC2E74}" name="AM" dataDxfId="188"/>
    <tableColumn id="7" xr3:uid="{F2B3378A-D467-452B-B894-8576A5D41BBE}" name="AP" dataDxfId="187"/>
    <tableColumn id="8" xr3:uid="{2FE38FD4-49A7-402E-9249-2F1FE7E4E027}" name="PA" dataDxfId="186"/>
    <tableColumn id="9" xr3:uid="{3F8DA4DF-43C6-4A2E-9793-6FB45F31D88A}" name="TO" dataDxfId="185"/>
    <tableColumn id="10" xr3:uid="{08FE1121-488E-4A8A-A1D0-3D0D87153D95}" name="NORDESTE" dataDxfId="184"/>
    <tableColumn id="11" xr3:uid="{DD9EA0BE-AEB8-4904-BE5A-81EC4F42E4C6}" name="MA" dataDxfId="183"/>
    <tableColumn id="12" xr3:uid="{C65CE50B-DF9F-4EFE-AC1E-19A16468713A}" name="PI" dataDxfId="182"/>
    <tableColumn id="13" xr3:uid="{5D05969A-E1C7-43A7-B71B-22268FB3E232}" name="CE" dataDxfId="181"/>
    <tableColumn id="14" xr3:uid="{A97B6897-CFFE-4661-B611-B2D60CCF0ADC}" name="RN" dataDxfId="180"/>
    <tableColumn id="15" xr3:uid="{BF86C9D2-5807-4F40-9051-7A67068281AA}" name="PB" dataDxfId="179"/>
    <tableColumn id="16" xr3:uid="{E3A30C52-12FA-4308-ACA5-E511229E5D56}" name="PE" dataDxfId="178"/>
    <tableColumn id="17" xr3:uid="{986578B0-2D30-422D-AE94-C704D371A9ED}" name="AL" dataDxfId="177"/>
    <tableColumn id="18" xr3:uid="{61435B55-D3FE-4C3A-812E-CE5D0118E63E}" name="SE" dataDxfId="176"/>
    <tableColumn id="19" xr3:uid="{534969DF-1823-4F20-A806-97162E402F0E}" name="BA" dataDxfId="175"/>
    <tableColumn id="20" xr3:uid="{EDE8B247-4C19-4366-8800-9FEBEE13F9EA}" name="CENTRO-OESTE" dataDxfId="174"/>
    <tableColumn id="21" xr3:uid="{A1667BB6-B217-492E-ACA4-B6E7FA0AF37B}" name="MT" dataDxfId="173"/>
    <tableColumn id="22" xr3:uid="{54601504-468E-416E-8E4D-408050EFD8F1}" name="MS" dataDxfId="172"/>
    <tableColumn id="23" xr3:uid="{1CA71861-8B72-40F9-8803-77B24A439D3B}" name="GO" dataDxfId="171"/>
    <tableColumn id="24" xr3:uid="{D65A4ED9-4AA6-46B6-85F9-FF04865D9CD9}" name="DF" dataDxfId="170"/>
    <tableColumn id="25" xr3:uid="{84502B60-EABA-40A0-98B8-19B8961F1D37}" name="SUDESTE" dataDxfId="169"/>
    <tableColumn id="26" xr3:uid="{B60F76A8-80E5-4C5C-9541-1F844E7A3AE1}" name="MG" dataDxfId="168"/>
    <tableColumn id="27" xr3:uid="{CC4AA6A5-83E1-4E87-A2CC-245EF4F57BFB}" name="ES" dataDxfId="167"/>
    <tableColumn id="28" xr3:uid="{CA5AB65D-6CEA-4F12-93CA-75E3666C2354}" name="RJ" dataDxfId="166"/>
    <tableColumn id="29" xr3:uid="{1E391A6D-FDCF-41F4-8790-26376C8AD795}" name="SP" dataDxfId="165"/>
    <tableColumn id="30" xr3:uid="{04C869B7-96FC-43E9-9CE2-82769EFFDCA0}" name="SUL" dataDxfId="164"/>
    <tableColumn id="31" xr3:uid="{9DCC0D0C-ACE3-4E6C-966D-A3E9ED01FBB5}" name="PR" dataDxfId="163"/>
    <tableColumn id="32" xr3:uid="{C1056F8D-2C9F-4314-8424-F2B642B3F545}" name="SC" dataDxfId="162"/>
    <tableColumn id="33" xr3:uid="{417BD3DD-D799-4503-A0AE-70D3CF2E75F7}" name="RS" dataDxfId="161"/>
    <tableColumn id="34" xr3:uid="{E9B9638C-63FC-4E3C-9765-611D2BA02CEF}" name="NORTE-NORDESTE" dataDxfId="160"/>
    <tableColumn id="35" xr3:uid="{BB0E374F-8FC9-4AE4-A4A2-6F762AEF1580}" name="CENTRO-SUL" dataDxfId="159"/>
    <tableColumn id="36" xr3:uid="{8C7BDB00-4B75-4FF9-8F29-D37982132B90}" name="BRASIL" dataDxfId="158"/>
    <tableColumn id="37" xr3:uid="{0FF9F8EF-1643-4E16-A1B9-53905A2DD396}" name="ANO" dataDxfId="157"/>
    <tableColumn id="38" xr3:uid="{A4BC462C-3977-4A40-BE0D-1A25B4C47A2A}" name="MÊS" dataDxfId="156"/>
    <tableColumn id="39" xr3:uid="{8717C3B1-3F56-4A6D-8272-548CC6EE93AA}" name="SAFRA" dataDxfId="155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AA68D2-2837-4E56-9205-588FBC25E607}" name="AREA_POR_REGIAO" displayName="AREA_POR_REGIAO" ref="A1:AB36" totalsRowShown="0">
  <autoFilter ref="A1:AB36" xr:uid="{6AAA68D2-2837-4E56-9205-588FBC25E607}"/>
  <tableColumns count="28">
    <tableColumn id="1" xr3:uid="{9D8E11EB-62E4-4646-82D1-16F281AB841F}" name="REGIÃO"/>
    <tableColumn id="2" xr3:uid="{400D5D9F-14BE-449D-A25E-F770F1684551}" name="ALGODÃO TOTAL" dataDxfId="154"/>
    <tableColumn id="3" xr3:uid="{1A597964-8010-4331-ABEA-1AEA845AB5F5}" name="ALGODÃO PLUMA" dataDxfId="153"/>
    <tableColumn id="4" xr3:uid="{B2BFD712-F833-47B4-830F-961CC061703C}" name="ALGODÃO CAROÇO" dataDxfId="152"/>
    <tableColumn id="5" xr3:uid="{F4D73FDB-EAAE-4D0E-8E22-29A41F3B9E20}" name="AMENDOIM" dataDxfId="151"/>
    <tableColumn id="6" xr3:uid="{5B9AB598-74CF-401E-9133-20988114821A}" name="ARROZ TOTAL" dataDxfId="150"/>
    <tableColumn id="7" xr3:uid="{9F25F6FD-273B-47C9-A893-C8D4CAFE7AB6}" name="ARROZ SEQUEIRO" dataDxfId="149"/>
    <tableColumn id="8" xr3:uid="{C5FEDFF2-6DFD-4C53-869F-F28A5C23DF3B}" name="ARROZ IRRIGADO" dataDxfId="148"/>
    <tableColumn id="9" xr3:uid="{211D5550-928C-4A68-8D86-E36DF84B0861}" name="FEIJÃO TOTAL" dataDxfId="147"/>
    <tableColumn id="10" xr3:uid="{9C00CC61-0B0F-43D5-A684-AE913448FB8D}" name="FEIJÃO CORES" dataDxfId="146"/>
    <tableColumn id="11" xr3:uid="{F00934D7-9B86-45AA-8159-2128826AE03E}" name="FEIJÃO PRETO" dataDxfId="145"/>
    <tableColumn id="12" xr3:uid="{1CBBEDAF-020E-4EFE-907A-27557665AA02}" name="FEIJÃO CAUPI" dataDxfId="144"/>
    <tableColumn id="13" xr3:uid="{A8B4A0BB-9E8E-4F8C-9B7B-89F6D688EC32}" name="GERGELIM" dataDxfId="143"/>
    <tableColumn id="14" xr3:uid="{BD44DF76-DF43-47F8-8A9E-050E54211B27}" name="GIRASSOL" dataDxfId="142"/>
    <tableColumn id="15" xr3:uid="{E3E75921-B2B5-4327-9628-9461D4B2C97A}" name="MAMONA" dataDxfId="141"/>
    <tableColumn id="16" xr3:uid="{779BE33D-35AA-4039-A599-BA68B482A978}" name="MILHO" dataDxfId="140"/>
    <tableColumn id="17" xr3:uid="{AC0C1990-76E8-414D-951C-E60C4646E855}" name="SOJA" dataDxfId="139"/>
    <tableColumn id="18" xr3:uid="{CC2AD535-2144-4A37-B30C-44803E8E0DC2}" name="SORGO" dataDxfId="138"/>
    <tableColumn id="19" xr3:uid="{DB09C5E0-C39A-4FE3-A0C4-5F83F16E55BE}" name="AVEIA" dataDxfId="137"/>
    <tableColumn id="20" xr3:uid="{A5A1A29D-945B-43C5-872F-5D7E2D8C0F4F}" name="CANOLA" dataDxfId="136"/>
    <tableColumn id="21" xr3:uid="{07F643AF-5A03-40BB-B5E8-C02BD7E21808}" name="CENTEIO" dataDxfId="135"/>
    <tableColumn id="22" xr3:uid="{6A47C86C-50FC-4E1C-8369-917038B220D3}" name="CEVADA" dataDxfId="134"/>
    <tableColumn id="23" xr3:uid="{2D22156A-463D-4284-9CD8-69F0E87747E7}" name="TRIGO" dataDxfId="133"/>
    <tableColumn id="24" xr3:uid="{5ACD3FF0-294A-44A8-8DF0-F447B6863725}" name="TRITICALE" dataDxfId="132"/>
    <tableColumn id="25" xr3:uid="{E71C1FB1-73E6-456B-8624-C3377581DF94}" name="GERAL" dataDxfId="131">
      <calculatedColumnFormula>SUM(B2,E2:F2,I2,M2:X2)</calculatedColumnFormula>
    </tableColumn>
    <tableColumn id="26" xr3:uid="{8186BB93-C0FE-4341-A195-EA43AAD936F3}" name="ANO" dataDxfId="130"/>
    <tableColumn id="27" xr3:uid="{87DB167D-5607-4997-951C-88947D3A6327}" name="MÊS" dataDxfId="129"/>
    <tableColumn id="28" xr3:uid="{C07FA4E5-704A-4BBC-9B48-E235E6FEA795}" name="SAFRA" dataDxfId="128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6E87F42-FE8A-4067-8EF0-E46E70574C8B}" name="PRODUTIVIDADE_POR_PRODUTO" displayName="PRODUTIVIDADE_POR_PRODUTO" ref="A1:AM25" totalsRowShown="0">
  <autoFilter ref="A1:AM25" xr:uid="{5B7D321A-43AE-4A82-BD55-3D36C41B7E32}"/>
  <tableColumns count="39">
    <tableColumn id="1" xr3:uid="{8CF1AF50-3446-4E75-8105-3A27A31DC53D}" name="PRODUTO"/>
    <tableColumn id="2" xr3:uid="{B84906ED-0B3E-4BAF-823C-613564EC7F44}" name="NORTE" dataDxfId="127"/>
    <tableColumn id="3" xr3:uid="{84B9811A-583F-4CE3-B96E-FD8D3F9C0AF7}" name="RR" dataDxfId="126"/>
    <tableColumn id="4" xr3:uid="{0AFF1D5D-3E87-4339-BBA1-770DC84997E0}" name="RO" dataDxfId="125"/>
    <tableColumn id="5" xr3:uid="{8E7E000F-2618-4C1D-A0A3-786BAD1CCA1E}" name="AC" dataDxfId="124"/>
    <tableColumn id="6" xr3:uid="{8FDC185D-309C-44F0-909D-47D36E4E88C7}" name="AM" dataDxfId="123"/>
    <tableColumn id="7" xr3:uid="{FCFBA294-1B56-4D43-81BD-8397D063FB54}" name="AP" dataDxfId="122"/>
    <tableColumn id="8" xr3:uid="{A4D89CF5-1E5F-4A95-9E6F-6AF87D6DC899}" name="PA" dataDxfId="121"/>
    <tableColumn id="9" xr3:uid="{CBEB4E66-65D5-43C3-A560-E78883927AF4}" name="TO" dataDxfId="120"/>
    <tableColumn id="10" xr3:uid="{E7D25C84-64C7-44D2-85A6-1289EF929C61}" name="NORDESTE" dataDxfId="119"/>
    <tableColumn id="11" xr3:uid="{3A9FA498-3724-4EB1-92DC-966AAB9D214D}" name="MA" dataDxfId="118"/>
    <tableColumn id="12" xr3:uid="{217BE2AA-49BC-4EFB-A2E9-A68DAFEE98F1}" name="PI" dataDxfId="117"/>
    <tableColumn id="13" xr3:uid="{2A2F8CD6-E44E-48F7-95FF-898DA8413AFD}" name="CE" dataDxfId="116"/>
    <tableColumn id="14" xr3:uid="{A6E9090C-1AB9-4D6E-9F99-ABDA730D9CA6}" name="RN" dataDxfId="115"/>
    <tableColumn id="15" xr3:uid="{C74DAA05-C155-4F4D-B631-EB31FBB3665F}" name="PB" dataDxfId="114"/>
    <tableColumn id="16" xr3:uid="{E5A10D15-FEE8-4661-ADBA-FB28CEA9267C}" name="PE" dataDxfId="113"/>
    <tableColumn id="17" xr3:uid="{D1DA04F7-F9F0-4017-AE33-C5C1E7CE5AC0}" name="AL" dataDxfId="112"/>
    <tableColumn id="18" xr3:uid="{DD2B9F5D-C570-466E-82CC-C54D2042ADFD}" name="SE" dataDxfId="111"/>
    <tableColumn id="19" xr3:uid="{A2536CAA-3E99-4275-8AFB-0F230AD1FE08}" name="BA" dataDxfId="110"/>
    <tableColumn id="20" xr3:uid="{C9DE622E-9653-49C4-97A9-6F44C0598F06}" name="CENTRO-OESTE" dataDxfId="109"/>
    <tableColumn id="21" xr3:uid="{625EA772-B512-443B-A734-AF5CE77AB668}" name="MT" dataDxfId="108"/>
    <tableColumn id="22" xr3:uid="{71A57575-7815-481F-AAAC-8C1EE9703912}" name="MS" dataDxfId="107"/>
    <tableColumn id="23" xr3:uid="{F0365580-4820-46C6-A7D7-BD7C897237CB}" name="GO" dataDxfId="106"/>
    <tableColumn id="24" xr3:uid="{A5D6C791-8D94-4B52-8C0C-39F7AD4AC4E1}" name="DF" dataDxfId="105"/>
    <tableColumn id="25" xr3:uid="{3C464D88-F9B1-4C7A-8784-1840561093C3}" name="SUDESTE" dataDxfId="104"/>
    <tableColumn id="26" xr3:uid="{1184085B-389F-4DFA-BAAA-79A73F5D58E9}" name="MG" dataDxfId="103"/>
    <tableColumn id="27" xr3:uid="{1FD7AAC9-8B22-4599-8C41-97B306E682A8}" name="ES" dataDxfId="102"/>
    <tableColumn id="28" xr3:uid="{3789E530-8644-46B9-A1D9-538F173953B6}" name="RJ" dataDxfId="101"/>
    <tableColumn id="29" xr3:uid="{4B510379-3A08-42EB-8F76-653D7A9A0F0C}" name="SP" dataDxfId="100"/>
    <tableColumn id="30" xr3:uid="{B7137113-AFD6-4F75-AE3E-0C0A27D770EB}" name="SUL" dataDxfId="99"/>
    <tableColumn id="31" xr3:uid="{725B070C-B20E-4909-860C-25B32C284E06}" name="PR" dataDxfId="98"/>
    <tableColumn id="32" xr3:uid="{4407D65F-AE79-48AC-9A84-33DCE4A2ADA4}" name="SC" dataDxfId="97"/>
    <tableColumn id="33" xr3:uid="{88C455AC-C842-489F-84B2-E60D576F9F16}" name="RS" dataDxfId="96"/>
    <tableColumn id="34" xr3:uid="{F04DD72A-4B16-4880-860B-5C4A2F256C93}" name="NORTE-NORDESTE" dataDxfId="95"/>
    <tableColumn id="35" xr3:uid="{83D2B4A6-D70A-4652-89BB-1ED9B337F34A}" name="CENTRO-SUL" dataDxfId="94"/>
    <tableColumn id="36" xr3:uid="{E90095A4-CB96-450E-A159-B808E8913751}" name="BRASIL" dataDxfId="93"/>
    <tableColumn id="37" xr3:uid="{5796B11A-3AF2-4B43-92FF-178971C3DBD9}" name="ANO" dataDxfId="92"/>
    <tableColumn id="38" xr3:uid="{5B4B4C2C-6AED-479F-B62E-92551DACC89D}" name="MÊS" dataDxfId="91"/>
    <tableColumn id="39" xr3:uid="{453C9B87-B335-49FF-BF33-6444C74EE93B}" name="SAFRA" dataDxfId="90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1B9CBF4-A819-4208-A9FE-4497BC6B95BA}" name="PRODUTIVIDADE_POR_REGIAO" displayName="PRODUTIVIDADE_POR_REGIAO" ref="A1:AB36" totalsRowShown="0">
  <autoFilter ref="A1:AB36" xr:uid="{51B9CBF4-A819-4208-A9FE-4497BC6B95BA}"/>
  <tableColumns count="28">
    <tableColumn id="1" xr3:uid="{DAF3B878-FB08-46CD-ACA1-18181EFBFBAD}" name="REGIÃO"/>
    <tableColumn id="2" xr3:uid="{696769AD-331A-446B-8AC3-B7C2D6DFB4E8}" name="ALGODÃO TOTAL" dataDxfId="89"/>
    <tableColumn id="3" xr3:uid="{5E665A64-E5CA-4198-9ED1-223E0FFF8B1A}" name="ALGODÃO PLUMA" dataDxfId="88"/>
    <tableColumn id="4" xr3:uid="{57ADDDDD-9A37-44E9-983C-5B9F0D61AF11}" name="ALGODÃO CAROÇO" dataDxfId="87"/>
    <tableColumn id="5" xr3:uid="{BD6D0D9E-BA32-4F0C-BAA5-432806AD0AA9}" name="AMENDOIM" dataDxfId="86"/>
    <tableColumn id="6" xr3:uid="{C681D5C9-AA19-42EE-BA4D-84A974B167AB}" name="ARROZ TOTAL" dataDxfId="85"/>
    <tableColumn id="7" xr3:uid="{21C89C02-6582-4EA1-885A-BE6F358EFB65}" name="ARROZ SEQUEIRO" dataDxfId="84"/>
    <tableColumn id="8" xr3:uid="{501ED1B5-AC3F-4814-A140-66E033D4A6D8}" name="ARROZ IRRIGADO" dataDxfId="83"/>
    <tableColumn id="9" xr3:uid="{04AD2B17-EAE9-468E-9CE2-F9622EDD8FAB}" name="FEIJÃO TOTAL" dataDxfId="82"/>
    <tableColumn id="10" xr3:uid="{42CBB38A-7B8E-4D57-921D-C225BD11BA37}" name="FEIJÃO CORES" dataDxfId="81"/>
    <tableColumn id="11" xr3:uid="{2D91C5A5-E4B0-489B-803D-F2729F4C4F74}" name="FEIJÃO PRETO" dataDxfId="80"/>
    <tableColumn id="12" xr3:uid="{99C1F29D-95F7-4EEA-8358-7E1C3C68D9BD}" name="FEIJÃO CAUPI" dataDxfId="79"/>
    <tableColumn id="13" xr3:uid="{B56D35BC-0CE8-4B2C-AA42-0F259574BA42}" name="GERGELIM" dataDxfId="78"/>
    <tableColumn id="14" xr3:uid="{DCA5F91F-E4C7-409B-8D7D-D7CB01BD5BD4}" name="GIRASSOL" dataDxfId="77"/>
    <tableColumn id="15" xr3:uid="{C4FEE6B7-7EF6-456E-B8DE-D28E6D59FC75}" name="MAMONA" dataDxfId="76"/>
    <tableColumn id="16" xr3:uid="{1355C0D1-26AC-4CDD-97CF-BBF69AC27943}" name="MILHO" dataDxfId="75"/>
    <tableColumn id="17" xr3:uid="{F87E309F-FB19-4F9B-AF8A-791408964512}" name="SOJA" dataDxfId="74"/>
    <tableColumn id="18" xr3:uid="{C3B3364B-EC9C-4949-8747-10B77423825C}" name="SORGO" dataDxfId="73"/>
    <tableColumn id="19" xr3:uid="{24AFF494-F277-42E7-BB5C-7D4DD4610D0A}" name="AVEIA" dataDxfId="72"/>
    <tableColumn id="20" xr3:uid="{AA50ABAF-470B-4E78-B762-C184C2002B38}" name="CANOLA" dataDxfId="71"/>
    <tableColumn id="21" xr3:uid="{E41B718D-8512-4FBA-94E7-68D66488A5A3}" name="CENTEIO" dataDxfId="70"/>
    <tableColumn id="22" xr3:uid="{5FD3C437-7E82-475D-BB2A-21A8CCFB39A8}" name="CEVADA" dataDxfId="69"/>
    <tableColumn id="23" xr3:uid="{521DED51-CA6F-48F2-89ED-A38C0B449C5F}" name="TRIGO" dataDxfId="68"/>
    <tableColumn id="24" xr3:uid="{C71EED0F-A05C-4902-876D-30647F78380D}" name="TRITICALE" dataDxfId="67"/>
    <tableColumn id="25" xr3:uid="{43F11742-31FE-47CA-9206-DE9A85BDFA19}" name="GERAL" dataDxfId="66"/>
    <tableColumn id="26" xr3:uid="{C21B5348-2002-46F8-AF76-43C13BCC151D}" name="ANO"/>
    <tableColumn id="27" xr3:uid="{D891F035-96D6-480F-919B-B57924EE851E}" name="MÊS" dataDxfId="65"/>
    <tableColumn id="28" xr3:uid="{0232FBA8-C0E4-432C-A673-68FECC15080F}" name="SAFRA" dataDxfId="64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205EC7A-49EF-4699-9240-6A619C4E0678}" name="PRODUCAO_POR_PRODUTO" displayName="PRODUCAO_POR_PRODUTO" ref="A1:AM25" totalsRowShown="0">
  <autoFilter ref="A1:AM25" xr:uid="{F205EC7A-49EF-4699-9240-6A619C4E0678}"/>
  <tableColumns count="39">
    <tableColumn id="1" xr3:uid="{6051C5E2-E2B7-4BEB-BC76-2DCAA50A7C15}" name="PRODUTO"/>
    <tableColumn id="2" xr3:uid="{B8D0D550-3F4A-455D-B730-DC7BB52A9B2A}" name="NORTE" dataDxfId="63"/>
    <tableColumn id="3" xr3:uid="{F0C3B647-0AA7-4BDE-9C13-1E481DDA789C}" name="RR" dataDxfId="62"/>
    <tableColumn id="4" xr3:uid="{2118BB87-FCC8-403D-8FCA-D68B9ED42B8C}" name="RO" dataDxfId="61"/>
    <tableColumn id="5" xr3:uid="{3CA4EDC5-768A-430C-8DF0-0D22D3452853}" name="AC" dataDxfId="60"/>
    <tableColumn id="6" xr3:uid="{7362E812-6294-4692-A499-A02354A455C2}" name="AM" dataDxfId="59"/>
    <tableColumn id="7" xr3:uid="{482DE189-3576-4B8E-BF1A-9C58B5F5C6ED}" name="AP" dataDxfId="58"/>
    <tableColumn id="8" xr3:uid="{0E0FA7BD-E6EA-426B-B8B1-9665A67EE819}" name="PA" dataDxfId="57"/>
    <tableColumn id="9" xr3:uid="{9ABF8262-0C59-4BAA-8D66-6D70743CECED}" name="TO" dataDxfId="56"/>
    <tableColumn id="10" xr3:uid="{96D8ACAF-FFFE-4005-ADC1-94AA97CD6038}" name="NORDESTE" dataDxfId="55"/>
    <tableColumn id="11" xr3:uid="{1FABF4C2-AC99-4575-B4A2-682FB02C27AB}" name="MA" dataDxfId="54"/>
    <tableColumn id="12" xr3:uid="{6E7000A1-CF81-4A5C-AF79-B5A606493E58}" name="PI" dataDxfId="53"/>
    <tableColumn id="13" xr3:uid="{5804C6F2-0132-4A60-8701-6454E76B39E1}" name="CE" dataDxfId="52"/>
    <tableColumn id="14" xr3:uid="{FAC246D4-9925-4737-BA6E-C12890CC3492}" name="RN" dataDxfId="51"/>
    <tableColumn id="15" xr3:uid="{70365A79-11D8-4822-868C-B390282D31AA}" name="PB" dataDxfId="50"/>
    <tableColumn id="16" xr3:uid="{C5EA46D4-2A74-4A1B-8628-EDE27732EBC1}" name="PE" dataDxfId="49"/>
    <tableColumn id="17" xr3:uid="{3AB16384-A9C1-4EAE-B1D3-B6980668DDFB}" name="AL" dataDxfId="48"/>
    <tableColumn id="18" xr3:uid="{5550B480-640D-47F3-98E2-47360C39B350}" name="SE" dataDxfId="47"/>
    <tableColumn id="19" xr3:uid="{AC7410A2-BEC3-4F36-9DE3-007ABEDAFE77}" name="BA" dataDxfId="46"/>
    <tableColumn id="20" xr3:uid="{EF9CC834-4DE2-4F12-A01F-E188C35BB745}" name="CENTRO-OESTE" dataDxfId="45"/>
    <tableColumn id="21" xr3:uid="{43361983-B660-4F10-8172-158B7FE088A3}" name="MT" dataDxfId="44"/>
    <tableColumn id="22" xr3:uid="{1D87111A-4709-4B48-BC75-F06DA78D87CB}" name="MS" dataDxfId="43"/>
    <tableColumn id="23" xr3:uid="{8C8B08DD-2483-4E25-AB6C-69DC01B3EB3D}" name="GO" dataDxfId="42"/>
    <tableColumn id="24" xr3:uid="{9D3A4E55-E1CC-4509-9BBA-1BA1B5720931}" name="DF" dataDxfId="41"/>
    <tableColumn id="25" xr3:uid="{64CEA2A0-9627-43CF-9192-24F44872CC96}" name="SUDESTE" dataDxfId="40"/>
    <tableColumn id="26" xr3:uid="{4FBE3EC3-154E-4DF3-ABB6-B6DEFFC26271}" name="MG" dataDxfId="39"/>
    <tableColumn id="27" xr3:uid="{B6B47D99-4133-4D01-BF64-2BBBE6D3BE49}" name="ES" dataDxfId="38"/>
    <tableColumn id="28" xr3:uid="{7CC112A7-D0E8-4317-B401-EC4CD011155C}" name="RJ" dataDxfId="37"/>
    <tableColumn id="29" xr3:uid="{14E6FF96-46F0-467D-A5A3-F1C831072AA9}" name="SP" dataDxfId="36"/>
    <tableColumn id="30" xr3:uid="{932BDB91-3454-40CD-B097-52A8AA0A2F81}" name="SUL" dataDxfId="35"/>
    <tableColumn id="31" xr3:uid="{AA858ED8-15B1-4985-9F57-E0EE2783C677}" name="PR" dataDxfId="34"/>
    <tableColumn id="32" xr3:uid="{D302D227-008B-444D-87CF-C19499331330}" name="SC" dataDxfId="33"/>
    <tableColumn id="33" xr3:uid="{65AB5642-25AB-4920-8029-D56BC42AB123}" name="RS" dataDxfId="32"/>
    <tableColumn id="34" xr3:uid="{7666B84C-5946-494A-83CA-2B24D2CF0DC8}" name="NORTE-NORDESTE" dataDxfId="31"/>
    <tableColumn id="35" xr3:uid="{633B8894-AE4A-45AC-B1C9-B4EAA702D9F9}" name="CENTRO-SUL" dataDxfId="30"/>
    <tableColumn id="36" xr3:uid="{6BB08E62-BEF0-4192-83F6-2E12E9E586B8}" name="BRASIL" dataDxfId="29"/>
    <tableColumn id="37" xr3:uid="{ECC44396-0C86-4DF0-B859-53097AD13988}" name="ANO" dataDxfId="28"/>
    <tableColumn id="38" xr3:uid="{57AEF2DA-BFBE-4B5B-ABC0-477C4D3CA382}" name="MÊS" dataDxfId="27"/>
    <tableColumn id="39" xr3:uid="{4AF1745A-E1C0-4A75-AFC1-E75F141DCCAA}" name="SAFRA" dataDxfId="26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31E3FB7-06A9-4F00-8000-681192EE3207}" name="PRODUCAO_POR_REGIAO" displayName="PRODUCAO_POR_REGIAO" ref="A1:AB36" totalsRowShown="0">
  <autoFilter ref="A1:AB36" xr:uid="{51B9CBF4-A819-4208-A9FE-4497BC6B95BA}"/>
  <tableColumns count="28">
    <tableColumn id="1" xr3:uid="{97EFA303-A9FC-46C0-A365-D8BFD6B07F4E}" name="REGIÃO"/>
    <tableColumn id="2" xr3:uid="{CD1BE27C-2122-4E57-BF75-B4E0FA407680}" name="ALGODÃO TOTAL" dataDxfId="25"/>
    <tableColumn id="3" xr3:uid="{6AAC4787-45BB-49C3-925E-EB86773D0EE3}" name="ALGODÃO PLUMA" dataDxfId="24"/>
    <tableColumn id="4" xr3:uid="{A709C33E-0EFD-439D-AFA6-DCBE5DFECC09}" name="ALGODÃO CAROÇO" dataDxfId="23"/>
    <tableColumn id="5" xr3:uid="{36919ACC-6DBD-4BA6-B171-C06771CAA181}" name="AMENDOIM" dataDxfId="22"/>
    <tableColumn id="6" xr3:uid="{A9E1ECF8-9280-4528-BB2D-F3444CC4E573}" name="ARROZ TOTAL" dataDxfId="21"/>
    <tableColumn id="7" xr3:uid="{E24CCEF1-19C6-4E7E-8519-F2CBD6FFBD2C}" name="ARROZ SEQUEIRO" dataDxfId="20"/>
    <tableColumn id="8" xr3:uid="{27262FD4-F510-4739-AE4D-503E89394540}" name="ARROZ IRRIGADO" dataDxfId="19"/>
    <tableColumn id="9" xr3:uid="{07A828EE-65C2-453C-98A5-132A6F8EEB49}" name="FEIJÃO TOTAL" dataDxfId="18"/>
    <tableColumn id="10" xr3:uid="{77436711-59D7-4D39-A13D-93314192FF57}" name="FEIJÃO CORES" dataDxfId="17"/>
    <tableColumn id="11" xr3:uid="{C39CBBE1-C887-4FAA-B20D-BEF14F189268}" name="FEIJÃO PRETO" dataDxfId="16"/>
    <tableColumn id="12" xr3:uid="{793D8F4C-ED63-45E7-81EC-8827A45470EF}" name="FEIJÃO CAUPI" dataDxfId="15"/>
    <tableColumn id="13" xr3:uid="{59CC00D7-C96D-4832-9F17-68AA9395C332}" name="GERGELIM" dataDxfId="14"/>
    <tableColumn id="14" xr3:uid="{6F397307-9E9A-4B49-89A4-0D105DC65A10}" name="GIRASSOL" dataDxfId="13"/>
    <tableColumn id="15" xr3:uid="{76D545D2-CB23-48DD-AB8A-DAF6093C755D}" name="MAMONA" dataDxfId="12"/>
    <tableColumn id="16" xr3:uid="{72E88D52-C6D2-4CF2-8498-8A5F1E83E6C7}" name="MILHO" dataDxfId="11"/>
    <tableColumn id="17" xr3:uid="{4972AB7E-DAFC-42EA-8460-6CE3DFB48C04}" name="SOJA" dataDxfId="10"/>
    <tableColumn id="18" xr3:uid="{C27C81AD-E84C-4DB4-9290-8E1075D91C93}" name="SORGO" dataDxfId="9"/>
    <tableColumn id="19" xr3:uid="{0A447A82-E343-410A-8854-08B23C052F47}" name="AVEIA" dataDxfId="8"/>
    <tableColumn id="20" xr3:uid="{F5ED3C8B-B7CB-452E-96A2-FCCEB899C54E}" name="CANOLA" dataDxfId="7"/>
    <tableColumn id="21" xr3:uid="{17829594-1EEC-4783-9488-1309944A44E5}" name="CENTEIO" dataDxfId="6"/>
    <tableColumn id="22" xr3:uid="{49B2C1E3-0396-4037-BB4B-32C18FDB6CC7}" name="CEVADA" dataDxfId="5"/>
    <tableColumn id="23" xr3:uid="{C10C34AB-D106-4FB2-B097-C90EF653E9E5}" name="TRIGO" dataDxfId="4"/>
    <tableColumn id="24" xr3:uid="{80045204-E6E2-42D6-9449-CCD3B9641988}" name="TRITICALE" dataDxfId="3"/>
    <tableColumn id="25" xr3:uid="{0FB9C96B-75F4-4026-A109-A799A828C96B}" name="GERAL" dataDxfId="2"/>
    <tableColumn id="26" xr3:uid="{FA0650E0-02EE-433A-927B-8DCFAD627C43}" name="ANO"/>
    <tableColumn id="27" xr3:uid="{94C00EC6-AB2D-4D90-B787-2C1FF57B5832}" name="MÊS" dataDxfId="1"/>
    <tableColumn id="28" xr3:uid="{57AFB38B-E07E-457A-9571-EB539326E109}" name="SAFRA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6"/>
  <sheetViews>
    <sheetView workbookViewId="0">
      <selection activeCell="B2" sqref="B2:AJ25"/>
    </sheetView>
  </sheetViews>
  <sheetFormatPr defaultRowHeight="15" x14ac:dyDescent="0.25"/>
  <cols>
    <col min="1" max="1" width="18.140625" bestFit="1" customWidth="1"/>
    <col min="2" max="2" width="12.7109375" bestFit="1" customWidth="1"/>
    <col min="3" max="3" width="15.7109375" bestFit="1" customWidth="1"/>
    <col min="4" max="4" width="11.140625" bestFit="1" customWidth="1"/>
    <col min="10" max="10" width="12.42578125" customWidth="1"/>
    <col min="20" max="20" width="16.42578125" customWidth="1"/>
    <col min="21" max="21" width="9.5703125" bestFit="1" customWidth="1"/>
    <col min="25" max="25" width="11" bestFit="1" customWidth="1"/>
    <col min="30" max="31" width="9.5703125" bestFit="1" customWidth="1"/>
    <col min="33" max="33" width="9.5703125" bestFit="1" customWidth="1"/>
    <col min="34" max="34" width="19.140625" customWidth="1"/>
    <col min="35" max="35" width="14.28515625" customWidth="1"/>
    <col min="36" max="36" width="9.5703125" bestFit="1" customWidth="1"/>
    <col min="38" max="38" width="11.5703125" bestFit="1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58</v>
      </c>
      <c r="AI1" t="s">
        <v>59</v>
      </c>
      <c r="AJ1" t="s">
        <v>32</v>
      </c>
      <c r="AK1" t="s">
        <v>60</v>
      </c>
      <c r="AL1" t="s">
        <v>61</v>
      </c>
      <c r="AM1" t="s">
        <v>62</v>
      </c>
    </row>
    <row r="2" spans="1:39" x14ac:dyDescent="0.25">
      <c r="A2" t="s">
        <v>35</v>
      </c>
      <c r="B2" s="1">
        <v>13.5</v>
      </c>
      <c r="C2" s="1">
        <v>0</v>
      </c>
      <c r="D2" s="1">
        <v>8.1</v>
      </c>
      <c r="E2" s="1">
        <v>0</v>
      </c>
      <c r="F2" s="1">
        <v>0</v>
      </c>
      <c r="G2" s="1">
        <v>0</v>
      </c>
      <c r="H2" s="1">
        <v>0</v>
      </c>
      <c r="I2" s="1">
        <v>5.4</v>
      </c>
      <c r="J2" s="1">
        <v>358.5</v>
      </c>
      <c r="K2" s="1">
        <v>28.1</v>
      </c>
      <c r="L2" s="1">
        <v>18.100000000000001</v>
      </c>
      <c r="M2" s="1">
        <v>2.2999999999999998</v>
      </c>
      <c r="N2" s="1">
        <v>0.3</v>
      </c>
      <c r="O2" s="1">
        <v>1.2</v>
      </c>
      <c r="P2" s="1">
        <v>0</v>
      </c>
      <c r="Q2" s="1">
        <v>0.5</v>
      </c>
      <c r="R2" s="1">
        <v>0</v>
      </c>
      <c r="S2" s="1">
        <v>308</v>
      </c>
      <c r="T2" s="1">
        <v>1227.3</v>
      </c>
      <c r="U2" s="1">
        <v>1170.9000000000001</v>
      </c>
      <c r="V2" s="1">
        <v>29.3</v>
      </c>
      <c r="W2" s="1">
        <v>27.1</v>
      </c>
      <c r="X2" s="1">
        <v>0</v>
      </c>
      <c r="Y2" s="1">
        <v>41.3</v>
      </c>
      <c r="Z2" s="1">
        <v>29.4</v>
      </c>
      <c r="AA2" s="1">
        <v>0</v>
      </c>
      <c r="AB2" s="1">
        <v>0</v>
      </c>
      <c r="AC2" s="1">
        <v>11.9</v>
      </c>
      <c r="AD2" s="1">
        <v>1.6</v>
      </c>
      <c r="AE2" s="1">
        <v>1.6</v>
      </c>
      <c r="AF2" s="1">
        <v>0</v>
      </c>
      <c r="AG2" s="1">
        <v>0</v>
      </c>
      <c r="AH2" s="1">
        <v>372</v>
      </c>
      <c r="AI2" s="1">
        <v>1270.1999999999998</v>
      </c>
      <c r="AJ2" s="1">
        <v>1642.1999999999998</v>
      </c>
      <c r="AK2" s="2">
        <v>2022</v>
      </c>
      <c r="AL2" s="2" t="s">
        <v>65</v>
      </c>
      <c r="AM2" s="2" t="s">
        <v>63</v>
      </c>
    </row>
    <row r="3" spans="1:39" x14ac:dyDescent="0.25">
      <c r="A3" t="s">
        <v>36</v>
      </c>
      <c r="B3" s="1">
        <v>13.5</v>
      </c>
      <c r="C3" s="1">
        <v>0</v>
      </c>
      <c r="D3" s="1">
        <v>8.1</v>
      </c>
      <c r="E3" s="1">
        <v>0</v>
      </c>
      <c r="F3" s="1">
        <v>0</v>
      </c>
      <c r="G3" s="1">
        <v>0</v>
      </c>
      <c r="H3" s="1">
        <v>0</v>
      </c>
      <c r="I3" s="1">
        <v>5.4</v>
      </c>
      <c r="J3" s="1">
        <v>358.5</v>
      </c>
      <c r="K3" s="1">
        <v>28.1</v>
      </c>
      <c r="L3" s="1">
        <v>18.100000000000001</v>
      </c>
      <c r="M3" s="1">
        <v>2.2999999999999998</v>
      </c>
      <c r="N3" s="1">
        <v>0.3</v>
      </c>
      <c r="O3" s="1">
        <v>1.2</v>
      </c>
      <c r="P3" s="1">
        <v>0</v>
      </c>
      <c r="Q3" s="1">
        <v>0.5</v>
      </c>
      <c r="R3" s="1">
        <v>0</v>
      </c>
      <c r="S3" s="1">
        <v>308</v>
      </c>
      <c r="T3" s="1">
        <v>1227.3</v>
      </c>
      <c r="U3" s="1">
        <v>1170.9000000000001</v>
      </c>
      <c r="V3" s="1">
        <v>29.3</v>
      </c>
      <c r="W3" s="1">
        <v>27.1</v>
      </c>
      <c r="X3" s="1">
        <v>0</v>
      </c>
      <c r="Y3" s="1">
        <v>41.3</v>
      </c>
      <c r="Z3" s="1">
        <v>29.4</v>
      </c>
      <c r="AA3" s="1">
        <v>0</v>
      </c>
      <c r="AB3" s="1">
        <v>0</v>
      </c>
      <c r="AC3" s="1">
        <v>11.9</v>
      </c>
      <c r="AD3" s="1">
        <v>1.6</v>
      </c>
      <c r="AE3" s="1">
        <v>1.6</v>
      </c>
      <c r="AF3" s="1">
        <v>0</v>
      </c>
      <c r="AG3" s="1">
        <v>0</v>
      </c>
      <c r="AH3" s="1">
        <v>372</v>
      </c>
      <c r="AI3" s="1">
        <v>1270.1999999999998</v>
      </c>
      <c r="AJ3" s="1">
        <v>1642.1999999999998</v>
      </c>
      <c r="AK3" s="2">
        <v>2022</v>
      </c>
      <c r="AL3" s="2" t="s">
        <v>65</v>
      </c>
      <c r="AM3" s="2" t="s">
        <v>63</v>
      </c>
    </row>
    <row r="4" spans="1:39" x14ac:dyDescent="0.25">
      <c r="A4" t="s">
        <v>37</v>
      </c>
      <c r="B4" s="1">
        <v>13.5</v>
      </c>
      <c r="C4" s="1">
        <v>0</v>
      </c>
      <c r="D4" s="1">
        <v>8.1</v>
      </c>
      <c r="E4" s="1">
        <v>0</v>
      </c>
      <c r="F4" s="1">
        <v>0</v>
      </c>
      <c r="G4" s="1">
        <v>0</v>
      </c>
      <c r="H4" s="1">
        <v>0</v>
      </c>
      <c r="I4" s="1">
        <v>5.4</v>
      </c>
      <c r="J4" s="1">
        <v>358.5</v>
      </c>
      <c r="K4" s="1">
        <v>28.1</v>
      </c>
      <c r="L4" s="1">
        <v>18.100000000000001</v>
      </c>
      <c r="M4" s="1">
        <v>2.2999999999999998</v>
      </c>
      <c r="N4" s="1">
        <v>0.3</v>
      </c>
      <c r="O4" s="1">
        <v>1.2</v>
      </c>
      <c r="P4" s="1">
        <v>0</v>
      </c>
      <c r="Q4" s="1">
        <v>0.5</v>
      </c>
      <c r="R4" s="1">
        <v>0</v>
      </c>
      <c r="S4" s="1">
        <v>308</v>
      </c>
      <c r="T4" s="1">
        <v>1227.3</v>
      </c>
      <c r="U4" s="1">
        <v>1170.9000000000001</v>
      </c>
      <c r="V4" s="1">
        <v>29.3</v>
      </c>
      <c r="W4" s="1">
        <v>27.1</v>
      </c>
      <c r="X4" s="1">
        <v>0</v>
      </c>
      <c r="Y4" s="1">
        <v>41.3</v>
      </c>
      <c r="Z4" s="1">
        <v>29.4</v>
      </c>
      <c r="AA4" s="1">
        <v>0</v>
      </c>
      <c r="AB4" s="1">
        <v>0</v>
      </c>
      <c r="AC4" s="1">
        <v>11.9</v>
      </c>
      <c r="AD4" s="1">
        <v>1.6</v>
      </c>
      <c r="AE4" s="1">
        <v>1.6</v>
      </c>
      <c r="AF4" s="1">
        <v>0</v>
      </c>
      <c r="AG4" s="1">
        <v>0</v>
      </c>
      <c r="AH4" s="1">
        <v>372</v>
      </c>
      <c r="AI4" s="1">
        <v>1270.1999999999998</v>
      </c>
      <c r="AJ4" s="1">
        <v>1642.1999999999998</v>
      </c>
      <c r="AK4" s="2">
        <v>2022</v>
      </c>
      <c r="AL4" s="2" t="s">
        <v>65</v>
      </c>
      <c r="AM4" s="2" t="s">
        <v>63</v>
      </c>
    </row>
    <row r="5" spans="1:39" x14ac:dyDescent="0.25">
      <c r="A5" t="s">
        <v>33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3.7</v>
      </c>
      <c r="K5" s="1">
        <v>0</v>
      </c>
      <c r="L5" s="1">
        <v>0</v>
      </c>
      <c r="M5" s="1">
        <v>0.4</v>
      </c>
      <c r="N5" s="1">
        <v>0</v>
      </c>
      <c r="O5" s="1">
        <v>0.7</v>
      </c>
      <c r="P5" s="1">
        <v>0</v>
      </c>
      <c r="Q5" s="1">
        <v>0</v>
      </c>
      <c r="R5" s="1">
        <v>0</v>
      </c>
      <c r="S5" s="1">
        <v>2.6</v>
      </c>
      <c r="T5" s="1">
        <v>5.7</v>
      </c>
      <c r="U5" s="1">
        <v>0</v>
      </c>
      <c r="V5" s="1">
        <v>5.7</v>
      </c>
      <c r="W5" s="1">
        <v>0</v>
      </c>
      <c r="X5" s="1">
        <v>0</v>
      </c>
      <c r="Y5" s="1">
        <v>199.70000000000002</v>
      </c>
      <c r="Z5" s="1">
        <v>5.9</v>
      </c>
      <c r="AA5" s="1">
        <v>0</v>
      </c>
      <c r="AB5" s="1">
        <v>0</v>
      </c>
      <c r="AC5" s="1">
        <v>193.8</v>
      </c>
      <c r="AD5" s="1">
        <v>3</v>
      </c>
      <c r="AE5" s="1">
        <v>1.5</v>
      </c>
      <c r="AF5" s="1">
        <v>0</v>
      </c>
      <c r="AG5" s="1">
        <v>1.5</v>
      </c>
      <c r="AH5" s="1">
        <v>3.7</v>
      </c>
      <c r="AI5" s="1">
        <v>208.4</v>
      </c>
      <c r="AJ5" s="1">
        <v>212.10000000000002</v>
      </c>
      <c r="AK5" s="2">
        <v>2022</v>
      </c>
      <c r="AL5" s="2" t="s">
        <v>65</v>
      </c>
      <c r="AM5" s="2" t="s">
        <v>63</v>
      </c>
    </row>
    <row r="6" spans="1:39" x14ac:dyDescent="0.25">
      <c r="A6" t="s">
        <v>38</v>
      </c>
      <c r="B6" s="1">
        <v>160</v>
      </c>
      <c r="C6" s="1">
        <v>12</v>
      </c>
      <c r="D6" s="1">
        <v>25.6</v>
      </c>
      <c r="E6" s="1">
        <v>3.7</v>
      </c>
      <c r="F6" s="1">
        <v>1.9</v>
      </c>
      <c r="G6" s="1">
        <v>0.9</v>
      </c>
      <c r="H6" s="1">
        <v>34</v>
      </c>
      <c r="I6" s="1">
        <v>81.900000000000006</v>
      </c>
      <c r="J6" s="1">
        <v>161.69999999999999</v>
      </c>
      <c r="K6" s="1">
        <v>101.2</v>
      </c>
      <c r="L6" s="1">
        <v>45.4</v>
      </c>
      <c r="M6" s="1">
        <v>5</v>
      </c>
      <c r="N6" s="1">
        <v>0.8</v>
      </c>
      <c r="O6" s="1">
        <v>1.1000000000000001</v>
      </c>
      <c r="P6" s="1">
        <v>0.2</v>
      </c>
      <c r="Q6" s="1">
        <v>1.8</v>
      </c>
      <c r="R6" s="1">
        <v>6.2</v>
      </c>
      <c r="S6" s="1">
        <v>0</v>
      </c>
      <c r="T6" s="1">
        <v>107.7</v>
      </c>
      <c r="U6" s="1">
        <v>83.800000000000011</v>
      </c>
      <c r="V6" s="1">
        <v>7.6</v>
      </c>
      <c r="W6" s="1">
        <v>16.3</v>
      </c>
      <c r="X6" s="1">
        <v>0</v>
      </c>
      <c r="Y6" s="1">
        <v>12.399999999999999</v>
      </c>
      <c r="Z6" s="1">
        <v>2.5999999999999996</v>
      </c>
      <c r="AA6" s="1">
        <v>0.1</v>
      </c>
      <c r="AB6" s="1">
        <v>0.3</v>
      </c>
      <c r="AC6" s="1">
        <v>9.3999999999999986</v>
      </c>
      <c r="AD6" s="1">
        <v>1075.5</v>
      </c>
      <c r="AE6" s="1">
        <v>20.8</v>
      </c>
      <c r="AF6" s="1">
        <v>145.19999999999999</v>
      </c>
      <c r="AG6" s="1">
        <v>909.5</v>
      </c>
      <c r="AH6" s="1">
        <v>321.7</v>
      </c>
      <c r="AI6" s="1">
        <v>1195.5999999999999</v>
      </c>
      <c r="AJ6" s="1">
        <v>1517.3</v>
      </c>
      <c r="AK6" s="2">
        <v>2022</v>
      </c>
      <c r="AL6" s="2" t="s">
        <v>65</v>
      </c>
      <c r="AM6" s="2" t="s">
        <v>63</v>
      </c>
    </row>
    <row r="7" spans="1:39" x14ac:dyDescent="0.25">
      <c r="A7" t="s">
        <v>34</v>
      </c>
      <c r="B7" s="1">
        <v>65.8</v>
      </c>
      <c r="C7" s="1">
        <v>0</v>
      </c>
      <c r="D7" s="1">
        <v>25.6</v>
      </c>
      <c r="E7" s="1">
        <v>3.7</v>
      </c>
      <c r="F7" s="1">
        <v>1.9</v>
      </c>
      <c r="G7" s="1">
        <v>0.9</v>
      </c>
      <c r="H7" s="1">
        <v>29.7</v>
      </c>
      <c r="I7" s="1">
        <v>4</v>
      </c>
      <c r="J7" s="1">
        <v>142.89999999999998</v>
      </c>
      <c r="K7" s="1">
        <v>98.3</v>
      </c>
      <c r="L7" s="1">
        <v>40.9</v>
      </c>
      <c r="M7" s="1">
        <v>2.6</v>
      </c>
      <c r="N7" s="1">
        <v>0</v>
      </c>
      <c r="O7" s="1">
        <v>1.1000000000000001</v>
      </c>
      <c r="P7" s="1">
        <v>0</v>
      </c>
      <c r="Q7" s="1">
        <v>0</v>
      </c>
      <c r="R7" s="1">
        <v>0</v>
      </c>
      <c r="S7" s="1">
        <v>0</v>
      </c>
      <c r="T7" s="1">
        <v>79.400000000000006</v>
      </c>
      <c r="U7" s="1">
        <v>76.400000000000006</v>
      </c>
      <c r="V7" s="1">
        <v>0</v>
      </c>
      <c r="W7" s="1">
        <v>3</v>
      </c>
      <c r="X7" s="1">
        <v>0</v>
      </c>
      <c r="Y7" s="1">
        <v>2.8</v>
      </c>
      <c r="Z7" s="1">
        <v>1.2</v>
      </c>
      <c r="AA7" s="1">
        <v>0.1</v>
      </c>
      <c r="AB7" s="1">
        <v>0.3</v>
      </c>
      <c r="AC7" s="1">
        <v>1.2</v>
      </c>
      <c r="AD7" s="1">
        <v>1.8</v>
      </c>
      <c r="AE7" s="1">
        <v>1.8</v>
      </c>
      <c r="AF7" s="1">
        <v>0</v>
      </c>
      <c r="AG7" s="1">
        <v>0</v>
      </c>
      <c r="AH7" s="1">
        <v>208.7</v>
      </c>
      <c r="AI7" s="1">
        <v>84</v>
      </c>
      <c r="AJ7" s="1">
        <v>292.7</v>
      </c>
      <c r="AK7" s="2">
        <v>2022</v>
      </c>
      <c r="AL7" s="2" t="s">
        <v>65</v>
      </c>
      <c r="AM7" s="2" t="s">
        <v>63</v>
      </c>
    </row>
    <row r="8" spans="1:39" x14ac:dyDescent="0.25">
      <c r="A8" t="s">
        <v>39</v>
      </c>
      <c r="B8" s="1">
        <v>94.2</v>
      </c>
      <c r="C8" s="1">
        <v>12</v>
      </c>
      <c r="D8" s="1">
        <v>0</v>
      </c>
      <c r="E8" s="1">
        <v>0</v>
      </c>
      <c r="F8" s="1">
        <v>0</v>
      </c>
      <c r="G8" s="1">
        <v>0</v>
      </c>
      <c r="H8" s="1">
        <v>4.3</v>
      </c>
      <c r="I8" s="1">
        <v>77.900000000000006</v>
      </c>
      <c r="J8" s="1">
        <v>18.8</v>
      </c>
      <c r="K8" s="1">
        <v>2.9</v>
      </c>
      <c r="L8" s="1">
        <v>4.5</v>
      </c>
      <c r="M8" s="1">
        <v>2.4</v>
      </c>
      <c r="N8" s="1">
        <v>0.8</v>
      </c>
      <c r="O8" s="1">
        <v>0</v>
      </c>
      <c r="P8" s="1">
        <v>0.2</v>
      </c>
      <c r="Q8" s="1">
        <v>1.8</v>
      </c>
      <c r="R8" s="1">
        <v>6.2</v>
      </c>
      <c r="S8" s="1">
        <v>0</v>
      </c>
      <c r="T8" s="1">
        <v>28.3</v>
      </c>
      <c r="U8" s="1">
        <v>7.4</v>
      </c>
      <c r="V8" s="1">
        <v>7.6</v>
      </c>
      <c r="W8" s="1">
        <v>13.3</v>
      </c>
      <c r="X8" s="1">
        <v>0</v>
      </c>
      <c r="Y8" s="1">
        <v>9.6</v>
      </c>
      <c r="Z8" s="1">
        <v>1.4</v>
      </c>
      <c r="AA8" s="1">
        <v>0</v>
      </c>
      <c r="AB8" s="1">
        <v>0</v>
      </c>
      <c r="AC8" s="1">
        <v>8.1999999999999993</v>
      </c>
      <c r="AD8" s="1">
        <v>1073.7</v>
      </c>
      <c r="AE8" s="1">
        <v>19</v>
      </c>
      <c r="AF8" s="1">
        <v>145.19999999999999</v>
      </c>
      <c r="AG8" s="1">
        <v>909.5</v>
      </c>
      <c r="AH8" s="1">
        <v>113</v>
      </c>
      <c r="AI8" s="1">
        <v>1111.6000000000001</v>
      </c>
      <c r="AJ8" s="1">
        <v>1224.6000000000001</v>
      </c>
      <c r="AK8" s="2">
        <v>2022</v>
      </c>
      <c r="AL8" s="2" t="s">
        <v>65</v>
      </c>
      <c r="AM8" s="2" t="s">
        <v>63</v>
      </c>
    </row>
    <row r="9" spans="1:39" x14ac:dyDescent="0.25">
      <c r="A9" t="s">
        <v>40</v>
      </c>
      <c r="B9" s="1">
        <v>108.8</v>
      </c>
      <c r="C9" s="1">
        <v>2.7</v>
      </c>
      <c r="D9" s="1">
        <v>2.9</v>
      </c>
      <c r="E9" s="1">
        <v>5.3</v>
      </c>
      <c r="F9" s="1">
        <v>2.2999999999999998</v>
      </c>
      <c r="G9" s="1">
        <v>1.2</v>
      </c>
      <c r="H9" s="1">
        <v>27.900000000000002</v>
      </c>
      <c r="I9" s="1">
        <v>66.5</v>
      </c>
      <c r="J9" s="1">
        <v>1421.7</v>
      </c>
      <c r="K9" s="1">
        <v>50.4</v>
      </c>
      <c r="L9" s="1">
        <v>193.4</v>
      </c>
      <c r="M9" s="1">
        <v>363</v>
      </c>
      <c r="N9" s="1">
        <v>48.1</v>
      </c>
      <c r="O9" s="1">
        <v>100.4</v>
      </c>
      <c r="P9" s="1">
        <v>227</v>
      </c>
      <c r="Q9" s="1">
        <v>30.599999999999998</v>
      </c>
      <c r="R9" s="1">
        <v>3.7</v>
      </c>
      <c r="S9" s="1">
        <v>405.1</v>
      </c>
      <c r="T9" s="1">
        <v>283.2</v>
      </c>
      <c r="U9" s="1">
        <v>157.30000000000001</v>
      </c>
      <c r="V9" s="1">
        <v>8.3000000000000007</v>
      </c>
      <c r="W9" s="1">
        <v>103.4</v>
      </c>
      <c r="X9" s="1">
        <v>14.2</v>
      </c>
      <c r="Y9" s="1">
        <v>388.19999999999993</v>
      </c>
      <c r="Z9" s="1">
        <v>306.39999999999998</v>
      </c>
      <c r="AA9" s="1">
        <v>9.5</v>
      </c>
      <c r="AB9" s="1">
        <v>0.9</v>
      </c>
      <c r="AC9" s="1">
        <v>71.400000000000006</v>
      </c>
      <c r="AD9" s="1">
        <v>579.70000000000005</v>
      </c>
      <c r="AE9" s="1">
        <v>464.00000000000006</v>
      </c>
      <c r="AF9" s="1">
        <v>66.2</v>
      </c>
      <c r="AG9" s="1">
        <v>49.5</v>
      </c>
      <c r="AH9" s="1">
        <v>1530.5</v>
      </c>
      <c r="AI9" s="1">
        <v>1251.0999999999999</v>
      </c>
      <c r="AJ9" s="1">
        <v>2781.6</v>
      </c>
      <c r="AK9" s="2">
        <v>2022</v>
      </c>
      <c r="AL9" s="2" t="s">
        <v>65</v>
      </c>
      <c r="AM9" s="2" t="s">
        <v>63</v>
      </c>
    </row>
    <row r="10" spans="1:39" x14ac:dyDescent="0.25">
      <c r="A10" t="s">
        <v>41</v>
      </c>
      <c r="B10" s="1">
        <v>8.6999999999999993</v>
      </c>
      <c r="C10" s="1">
        <v>0</v>
      </c>
      <c r="D10" s="1">
        <v>2.9</v>
      </c>
      <c r="E10" s="1">
        <v>0</v>
      </c>
      <c r="F10" s="1">
        <v>0</v>
      </c>
      <c r="G10" s="1">
        <v>1.2</v>
      </c>
      <c r="H10" s="1">
        <v>4.3</v>
      </c>
      <c r="I10" s="1">
        <v>0.3</v>
      </c>
      <c r="J10" s="1">
        <v>357.2</v>
      </c>
      <c r="K10" s="1">
        <v>0</v>
      </c>
      <c r="L10" s="1">
        <v>0</v>
      </c>
      <c r="M10" s="1">
        <v>5</v>
      </c>
      <c r="N10" s="1">
        <v>0</v>
      </c>
      <c r="O10" s="1">
        <v>25</v>
      </c>
      <c r="P10" s="1">
        <v>84.5</v>
      </c>
      <c r="Q10" s="1">
        <v>24.4</v>
      </c>
      <c r="R10" s="1">
        <v>3.7</v>
      </c>
      <c r="S10" s="1">
        <v>214.6</v>
      </c>
      <c r="T10" s="1">
        <v>186.29999999999998</v>
      </c>
      <c r="U10" s="1">
        <v>76.699999999999989</v>
      </c>
      <c r="V10" s="1">
        <v>8.3000000000000007</v>
      </c>
      <c r="W10" s="1">
        <v>88.4</v>
      </c>
      <c r="X10" s="1">
        <v>12.9</v>
      </c>
      <c r="Y10" s="1">
        <v>357.1</v>
      </c>
      <c r="Z10" s="1">
        <v>276.2</v>
      </c>
      <c r="AA10" s="1">
        <v>9.5</v>
      </c>
      <c r="AB10" s="1">
        <v>0</v>
      </c>
      <c r="AC10" s="1">
        <v>71.400000000000006</v>
      </c>
      <c r="AD10" s="1">
        <v>228.9</v>
      </c>
      <c r="AE10" s="1">
        <v>205</v>
      </c>
      <c r="AF10" s="1">
        <v>13.9</v>
      </c>
      <c r="AG10" s="1">
        <v>10</v>
      </c>
      <c r="AH10" s="1">
        <v>365.9</v>
      </c>
      <c r="AI10" s="1">
        <v>772.3</v>
      </c>
      <c r="AJ10" s="1">
        <v>1138.1999999999998</v>
      </c>
      <c r="AK10" s="2">
        <v>2022</v>
      </c>
      <c r="AL10" s="2" t="s">
        <v>65</v>
      </c>
      <c r="AM10" s="2" t="s">
        <v>63</v>
      </c>
    </row>
    <row r="11" spans="1:39" x14ac:dyDescent="0.25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18.2</v>
      </c>
      <c r="K11" s="1">
        <v>0</v>
      </c>
      <c r="L11" s="1">
        <v>0</v>
      </c>
      <c r="M11" s="1">
        <v>0</v>
      </c>
      <c r="N11" s="1">
        <v>0</v>
      </c>
      <c r="O11" s="1">
        <v>2</v>
      </c>
      <c r="P11" s="1">
        <v>16.2</v>
      </c>
      <c r="Q11" s="1">
        <v>0</v>
      </c>
      <c r="R11" s="1">
        <v>0</v>
      </c>
      <c r="S11" s="1">
        <v>0</v>
      </c>
      <c r="T11" s="1">
        <v>1.2</v>
      </c>
      <c r="U11" s="1">
        <v>0</v>
      </c>
      <c r="V11" s="1">
        <v>0</v>
      </c>
      <c r="W11" s="1">
        <v>0</v>
      </c>
      <c r="X11" s="1">
        <v>1.2</v>
      </c>
      <c r="Y11" s="1">
        <v>15.299999999999999</v>
      </c>
      <c r="Z11" s="1">
        <v>14.399999999999999</v>
      </c>
      <c r="AA11" s="1">
        <v>0</v>
      </c>
      <c r="AB11" s="1">
        <v>0.9</v>
      </c>
      <c r="AC11" s="1">
        <v>0</v>
      </c>
      <c r="AD11" s="1">
        <v>350.8</v>
      </c>
      <c r="AE11" s="1">
        <v>259</v>
      </c>
      <c r="AF11" s="1">
        <v>52.3</v>
      </c>
      <c r="AG11" s="1">
        <v>39.5</v>
      </c>
      <c r="AH11" s="1">
        <v>18.2</v>
      </c>
      <c r="AI11" s="1">
        <v>367.3</v>
      </c>
      <c r="AJ11" s="1">
        <v>385.5</v>
      </c>
      <c r="AK11" s="2">
        <v>2022</v>
      </c>
      <c r="AL11" s="2" t="s">
        <v>65</v>
      </c>
      <c r="AM11" s="2" t="s">
        <v>63</v>
      </c>
    </row>
    <row r="12" spans="1:39" x14ac:dyDescent="0.25">
      <c r="A12" t="s">
        <v>43</v>
      </c>
      <c r="B12" s="1">
        <v>100.10000000000001</v>
      </c>
      <c r="C12" s="1">
        <v>2.7</v>
      </c>
      <c r="D12" s="1">
        <v>0</v>
      </c>
      <c r="E12" s="1">
        <v>5.3</v>
      </c>
      <c r="F12" s="1">
        <v>2.2999999999999998</v>
      </c>
      <c r="G12" s="1">
        <v>0</v>
      </c>
      <c r="H12" s="1">
        <v>23.6</v>
      </c>
      <c r="I12" s="1">
        <v>66.2</v>
      </c>
      <c r="J12" s="1">
        <v>1046.3</v>
      </c>
      <c r="K12" s="1">
        <v>50.4</v>
      </c>
      <c r="L12" s="1">
        <v>193.4</v>
      </c>
      <c r="M12" s="1">
        <v>358</v>
      </c>
      <c r="N12" s="1">
        <v>48.1</v>
      </c>
      <c r="O12" s="1">
        <v>73.400000000000006</v>
      </c>
      <c r="P12" s="1">
        <v>126.3</v>
      </c>
      <c r="Q12" s="1">
        <v>6.2</v>
      </c>
      <c r="R12" s="1">
        <v>0</v>
      </c>
      <c r="S12" s="1">
        <v>190.5</v>
      </c>
      <c r="T12" s="1">
        <v>95.699999999999989</v>
      </c>
      <c r="U12" s="1">
        <v>80.599999999999994</v>
      </c>
      <c r="V12" s="1">
        <v>0</v>
      </c>
      <c r="W12" s="1">
        <v>15</v>
      </c>
      <c r="X12" s="1">
        <v>0.1</v>
      </c>
      <c r="Y12" s="1">
        <v>15.799999999999999</v>
      </c>
      <c r="Z12" s="1">
        <v>15.799999999999999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1146.3999999999999</v>
      </c>
      <c r="AI12" s="1">
        <v>111.49999999999999</v>
      </c>
      <c r="AJ12" s="1">
        <v>1257.8999999999999</v>
      </c>
      <c r="AK12" s="2">
        <v>2022</v>
      </c>
      <c r="AL12" s="2" t="s">
        <v>65</v>
      </c>
      <c r="AM12" s="2" t="s">
        <v>63</v>
      </c>
    </row>
    <row r="13" spans="1:39" x14ac:dyDescent="0.25">
      <c r="A13" t="s">
        <v>44</v>
      </c>
      <c r="B13" s="1">
        <v>96.3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64</v>
      </c>
      <c r="I13" s="1">
        <v>32.299999999999997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117.6</v>
      </c>
      <c r="U13" s="1">
        <v>114.6</v>
      </c>
      <c r="V13" s="1">
        <v>0</v>
      </c>
      <c r="W13" s="1">
        <v>3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96.3</v>
      </c>
      <c r="AI13" s="1">
        <v>117.6</v>
      </c>
      <c r="AJ13" s="1">
        <v>213.89999999999998</v>
      </c>
      <c r="AK13" s="2">
        <v>2022</v>
      </c>
      <c r="AL13" s="2" t="s">
        <v>65</v>
      </c>
      <c r="AM13" s="2" t="s">
        <v>63</v>
      </c>
    </row>
    <row r="14" spans="1:39" x14ac:dyDescent="0.25">
      <c r="A14" t="s">
        <v>45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36.5</v>
      </c>
      <c r="U14" s="1">
        <v>9.8000000000000007</v>
      </c>
      <c r="V14" s="1">
        <v>0</v>
      </c>
      <c r="W14" s="1">
        <v>26</v>
      </c>
      <c r="X14" s="1">
        <v>0.7</v>
      </c>
      <c r="Y14" s="1">
        <v>1.9</v>
      </c>
      <c r="Z14" s="1">
        <v>1.9</v>
      </c>
      <c r="AA14" s="1">
        <v>0</v>
      </c>
      <c r="AB14" s="1">
        <v>0</v>
      </c>
      <c r="AC14" s="1">
        <v>0</v>
      </c>
      <c r="AD14" s="1">
        <v>3.3</v>
      </c>
      <c r="AE14" s="1">
        <v>0</v>
      </c>
      <c r="AF14" s="1">
        <v>0</v>
      </c>
      <c r="AG14" s="1">
        <v>3.3</v>
      </c>
      <c r="AH14" s="1">
        <v>0</v>
      </c>
      <c r="AI14" s="1">
        <v>41.699999999999996</v>
      </c>
      <c r="AJ14" s="1">
        <v>41.699999999999996</v>
      </c>
      <c r="AK14" s="2">
        <v>2022</v>
      </c>
      <c r="AL14" s="2" t="s">
        <v>65</v>
      </c>
      <c r="AM14" s="2" t="s">
        <v>63</v>
      </c>
    </row>
    <row r="15" spans="1:39" x14ac:dyDescent="0.25">
      <c r="A15" t="s">
        <v>46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49.3</v>
      </c>
      <c r="K15" s="1">
        <v>0</v>
      </c>
      <c r="L15" s="1">
        <v>0</v>
      </c>
      <c r="M15" s="1">
        <v>0.5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48.8</v>
      </c>
      <c r="T15" s="1">
        <v>0.8</v>
      </c>
      <c r="U15" s="1">
        <v>0.8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49.3</v>
      </c>
      <c r="AI15" s="1">
        <v>0.8</v>
      </c>
      <c r="AJ15" s="1">
        <v>50.099999999999994</v>
      </c>
      <c r="AK15" s="2">
        <v>2022</v>
      </c>
      <c r="AL15" s="2" t="s">
        <v>65</v>
      </c>
      <c r="AM15" s="2" t="s">
        <v>63</v>
      </c>
    </row>
    <row r="16" spans="1:39" x14ac:dyDescent="0.25">
      <c r="A16" t="s">
        <v>47</v>
      </c>
      <c r="B16" s="1">
        <v>1214.0999999999999</v>
      </c>
      <c r="C16" s="1">
        <v>15</v>
      </c>
      <c r="D16" s="1">
        <v>286.2</v>
      </c>
      <c r="E16" s="1">
        <v>49.9</v>
      </c>
      <c r="F16" s="1">
        <v>3.8</v>
      </c>
      <c r="G16" s="1">
        <v>1.3</v>
      </c>
      <c r="H16" s="1">
        <v>423.1</v>
      </c>
      <c r="I16" s="1">
        <v>434.79999999999995</v>
      </c>
      <c r="J16" s="1">
        <v>3278.2</v>
      </c>
      <c r="K16" s="1">
        <v>608.5</v>
      </c>
      <c r="L16" s="1">
        <v>596.6</v>
      </c>
      <c r="M16" s="1">
        <v>573.1</v>
      </c>
      <c r="N16" s="1">
        <v>52.4</v>
      </c>
      <c r="O16" s="1">
        <v>116.1</v>
      </c>
      <c r="P16" s="1">
        <v>253.8</v>
      </c>
      <c r="Q16" s="1">
        <v>40.200000000000003</v>
      </c>
      <c r="R16" s="1">
        <v>182.2</v>
      </c>
      <c r="S16" s="1">
        <v>855.3</v>
      </c>
      <c r="T16" s="1">
        <v>11142.500000000002</v>
      </c>
      <c r="U16" s="1">
        <v>6959</v>
      </c>
      <c r="V16" s="1">
        <v>2192.6999999999998</v>
      </c>
      <c r="W16" s="1">
        <v>1919.6</v>
      </c>
      <c r="X16" s="1">
        <v>71.2</v>
      </c>
      <c r="Y16" s="1">
        <v>2252.1999999999998</v>
      </c>
      <c r="Z16" s="1">
        <v>1408</v>
      </c>
      <c r="AA16" s="1">
        <v>13.4</v>
      </c>
      <c r="AB16" s="1">
        <v>1.8</v>
      </c>
      <c r="AC16" s="1">
        <v>829</v>
      </c>
      <c r="AD16" s="1">
        <v>4438</v>
      </c>
      <c r="AE16" s="1">
        <v>3284.6</v>
      </c>
      <c r="AF16" s="1">
        <v>321.89999999999998</v>
      </c>
      <c r="AG16" s="1">
        <v>831.5</v>
      </c>
      <c r="AH16" s="1">
        <v>4492.2999999999993</v>
      </c>
      <c r="AI16" s="1">
        <v>17832.7</v>
      </c>
      <c r="AJ16" s="1">
        <v>22325</v>
      </c>
      <c r="AK16" s="2">
        <v>2022</v>
      </c>
      <c r="AL16" s="2" t="s">
        <v>65</v>
      </c>
      <c r="AM16" s="2" t="s">
        <v>63</v>
      </c>
    </row>
    <row r="17" spans="1:39" x14ac:dyDescent="0.25">
      <c r="A17" t="s">
        <v>48</v>
      </c>
      <c r="B17" s="1">
        <v>2833.6</v>
      </c>
      <c r="C17" s="1">
        <v>120</v>
      </c>
      <c r="D17" s="1">
        <v>495.6</v>
      </c>
      <c r="E17" s="1">
        <v>10</v>
      </c>
      <c r="F17" s="1">
        <v>6.6</v>
      </c>
      <c r="G17" s="1">
        <v>6.5</v>
      </c>
      <c r="H17" s="1">
        <v>925.4</v>
      </c>
      <c r="I17" s="1">
        <v>1269.5</v>
      </c>
      <c r="J17" s="1">
        <v>3943.6000000000004</v>
      </c>
      <c r="K17" s="1">
        <v>1108.4000000000001</v>
      </c>
      <c r="L17" s="1">
        <v>912.8</v>
      </c>
      <c r="M17" s="1">
        <v>0</v>
      </c>
      <c r="N17" s="1">
        <v>0</v>
      </c>
      <c r="O17" s="1">
        <v>0</v>
      </c>
      <c r="P17" s="1">
        <v>0</v>
      </c>
      <c r="Q17" s="1">
        <v>2.7</v>
      </c>
      <c r="R17" s="1">
        <v>0</v>
      </c>
      <c r="S17" s="1">
        <v>1919.7</v>
      </c>
      <c r="T17" s="1">
        <v>20145</v>
      </c>
      <c r="U17" s="1">
        <v>11763.9</v>
      </c>
      <c r="V17" s="1">
        <v>3760.8</v>
      </c>
      <c r="W17" s="1">
        <v>4534.2</v>
      </c>
      <c r="X17" s="1">
        <v>86.1</v>
      </c>
      <c r="Y17" s="1">
        <v>3367.3</v>
      </c>
      <c r="Z17" s="1">
        <v>2095.9</v>
      </c>
      <c r="AA17" s="1">
        <v>0</v>
      </c>
      <c r="AB17" s="1">
        <v>0</v>
      </c>
      <c r="AC17" s="1">
        <v>1271.4000000000001</v>
      </c>
      <c r="AD17" s="1">
        <v>12952.8</v>
      </c>
      <c r="AE17" s="1">
        <v>5731.2</v>
      </c>
      <c r="AF17" s="1">
        <v>717.4</v>
      </c>
      <c r="AG17" s="1">
        <v>6504.2</v>
      </c>
      <c r="AH17" s="1">
        <v>6777.2000000000007</v>
      </c>
      <c r="AI17" s="1">
        <v>36465.1</v>
      </c>
      <c r="AJ17" s="1">
        <v>43242.3</v>
      </c>
      <c r="AK17" s="2">
        <v>2022</v>
      </c>
      <c r="AL17" s="2" t="s">
        <v>65</v>
      </c>
      <c r="AM17" s="2" t="s">
        <v>63</v>
      </c>
    </row>
    <row r="18" spans="1:39" x14ac:dyDescent="0.25">
      <c r="A18" t="s">
        <v>49</v>
      </c>
      <c r="B18" s="1">
        <v>67.3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21.9</v>
      </c>
      <c r="I18" s="1">
        <v>45.4</v>
      </c>
      <c r="J18" s="1">
        <v>179.7</v>
      </c>
      <c r="K18" s="1">
        <v>9.9</v>
      </c>
      <c r="L18" s="1">
        <v>22.1</v>
      </c>
      <c r="M18" s="1">
        <v>0</v>
      </c>
      <c r="N18" s="1">
        <v>0.7</v>
      </c>
      <c r="O18" s="1">
        <v>0</v>
      </c>
      <c r="P18" s="1">
        <v>0</v>
      </c>
      <c r="Q18" s="1">
        <v>0</v>
      </c>
      <c r="R18" s="1">
        <v>0</v>
      </c>
      <c r="S18" s="1">
        <v>147</v>
      </c>
      <c r="T18" s="1">
        <v>545.29999999999995</v>
      </c>
      <c r="U18" s="1">
        <v>63.8</v>
      </c>
      <c r="V18" s="1">
        <v>87.8</v>
      </c>
      <c r="W18" s="1">
        <v>384.7</v>
      </c>
      <c r="X18" s="1">
        <v>9</v>
      </c>
      <c r="Y18" s="1">
        <v>246.9</v>
      </c>
      <c r="Z18" s="1">
        <v>231.9</v>
      </c>
      <c r="AA18" s="1">
        <v>0</v>
      </c>
      <c r="AB18" s="1">
        <v>0</v>
      </c>
      <c r="AC18" s="1">
        <v>15</v>
      </c>
      <c r="AD18" s="1">
        <v>15.1</v>
      </c>
      <c r="AE18" s="1">
        <v>15.1</v>
      </c>
      <c r="AF18" s="1">
        <v>0</v>
      </c>
      <c r="AG18" s="1">
        <v>0</v>
      </c>
      <c r="AH18" s="1">
        <v>247</v>
      </c>
      <c r="AI18" s="1">
        <v>807.3</v>
      </c>
      <c r="AJ18" s="1">
        <v>1054.3</v>
      </c>
      <c r="AK18" s="2">
        <v>2022</v>
      </c>
      <c r="AL18" s="2" t="s">
        <v>65</v>
      </c>
      <c r="AM18" s="2" t="s">
        <v>63</v>
      </c>
    </row>
    <row r="19" spans="1:39" x14ac:dyDescent="0.25">
      <c r="A19" t="s">
        <v>50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49</v>
      </c>
      <c r="U19" s="1">
        <v>0</v>
      </c>
      <c r="V19" s="1">
        <v>49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449.29999999999995</v>
      </c>
      <c r="AE19" s="1">
        <v>107.6</v>
      </c>
      <c r="AF19" s="1">
        <v>0</v>
      </c>
      <c r="AG19" s="1">
        <v>341.7</v>
      </c>
      <c r="AH19" s="1">
        <v>0</v>
      </c>
      <c r="AI19" s="1">
        <v>498.29999999999995</v>
      </c>
      <c r="AJ19" s="1">
        <v>498.29999999999995</v>
      </c>
      <c r="AK19" s="2">
        <v>2022</v>
      </c>
      <c r="AL19" s="2" t="s">
        <v>65</v>
      </c>
      <c r="AM19" s="2" t="s">
        <v>63</v>
      </c>
    </row>
    <row r="20" spans="1:39" x14ac:dyDescent="0.25">
      <c r="A20" t="s">
        <v>51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55.199999999999996</v>
      </c>
      <c r="AE20" s="1">
        <v>0.8</v>
      </c>
      <c r="AF20" s="1">
        <v>0</v>
      </c>
      <c r="AG20" s="1">
        <v>54.4</v>
      </c>
      <c r="AH20" s="1">
        <v>0</v>
      </c>
      <c r="AI20" s="1">
        <v>55.199999999999996</v>
      </c>
      <c r="AJ20" s="1">
        <v>55.199999999999996</v>
      </c>
      <c r="AK20" s="2">
        <v>2022</v>
      </c>
      <c r="AL20" s="2" t="s">
        <v>65</v>
      </c>
      <c r="AM20" s="2" t="s">
        <v>63</v>
      </c>
    </row>
    <row r="21" spans="1:39" x14ac:dyDescent="0.25">
      <c r="A21" t="s">
        <v>52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5.3</v>
      </c>
      <c r="AE21" s="1">
        <v>3.8</v>
      </c>
      <c r="AF21" s="1">
        <v>0</v>
      </c>
      <c r="AG21" s="1">
        <v>1.5</v>
      </c>
      <c r="AH21" s="1">
        <v>0</v>
      </c>
      <c r="AI21" s="1">
        <v>5.3</v>
      </c>
      <c r="AJ21" s="1">
        <v>5.3</v>
      </c>
      <c r="AK21" s="2">
        <v>2022</v>
      </c>
      <c r="AL21" s="2" t="s">
        <v>65</v>
      </c>
      <c r="AM21" s="2" t="s">
        <v>63</v>
      </c>
    </row>
    <row r="22" spans="1:39" x14ac:dyDescent="0.25">
      <c r="A22" t="s">
        <v>53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118.8</v>
      </c>
      <c r="AE22" s="1">
        <v>80.099999999999994</v>
      </c>
      <c r="AF22" s="1">
        <v>0.5</v>
      </c>
      <c r="AG22" s="1">
        <v>38.200000000000003</v>
      </c>
      <c r="AH22" s="1">
        <v>0</v>
      </c>
      <c r="AI22" s="1">
        <v>118.8</v>
      </c>
      <c r="AJ22" s="1">
        <v>118.8</v>
      </c>
      <c r="AK22" s="2">
        <v>2022</v>
      </c>
      <c r="AL22" s="2" t="s">
        <v>65</v>
      </c>
      <c r="AM22" s="2" t="s">
        <v>63</v>
      </c>
    </row>
    <row r="23" spans="1:39" x14ac:dyDescent="0.25">
      <c r="A23" t="s">
        <v>54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7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7</v>
      </c>
      <c r="T23" s="1">
        <v>83.7</v>
      </c>
      <c r="U23" s="1">
        <v>0</v>
      </c>
      <c r="V23" s="1">
        <v>20.5</v>
      </c>
      <c r="W23" s="1">
        <v>60</v>
      </c>
      <c r="X23" s="1">
        <v>3.2</v>
      </c>
      <c r="Y23" s="1">
        <v>204.60000000000002</v>
      </c>
      <c r="Z23" s="1">
        <v>108.9</v>
      </c>
      <c r="AA23" s="1">
        <v>0</v>
      </c>
      <c r="AB23" s="1">
        <v>0</v>
      </c>
      <c r="AC23" s="1">
        <v>95.7</v>
      </c>
      <c r="AD23" s="1">
        <v>2756.2</v>
      </c>
      <c r="AE23" s="1">
        <v>1187.3</v>
      </c>
      <c r="AF23" s="1">
        <v>137.6</v>
      </c>
      <c r="AG23" s="1">
        <v>1431.3</v>
      </c>
      <c r="AH23" s="1">
        <v>7</v>
      </c>
      <c r="AI23" s="1">
        <v>3044.5</v>
      </c>
      <c r="AJ23" s="1">
        <v>3051.5</v>
      </c>
      <c r="AK23" s="2">
        <v>2022</v>
      </c>
      <c r="AL23" s="2" t="s">
        <v>65</v>
      </c>
      <c r="AM23" s="2" t="s">
        <v>63</v>
      </c>
    </row>
    <row r="24" spans="1:39" x14ac:dyDescent="0.25">
      <c r="A24" t="s">
        <v>55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1.8</v>
      </c>
      <c r="Z24" s="1">
        <v>0</v>
      </c>
      <c r="AA24" s="1">
        <v>0</v>
      </c>
      <c r="AB24" s="1">
        <v>0</v>
      </c>
      <c r="AC24" s="1">
        <v>1.8</v>
      </c>
      <c r="AD24" s="1">
        <v>16.3</v>
      </c>
      <c r="AE24" s="1">
        <v>10.5</v>
      </c>
      <c r="AF24" s="1">
        <v>0</v>
      </c>
      <c r="AG24" s="1">
        <v>5.8</v>
      </c>
      <c r="AH24" s="1">
        <v>0</v>
      </c>
      <c r="AI24" s="1">
        <v>18.100000000000001</v>
      </c>
      <c r="AJ24" s="1">
        <v>18.100000000000001</v>
      </c>
      <c r="AK24" s="2">
        <v>2022</v>
      </c>
      <c r="AL24" s="2" t="s">
        <v>65</v>
      </c>
      <c r="AM24" s="2" t="s">
        <v>63</v>
      </c>
    </row>
    <row r="25" spans="1:39" x14ac:dyDescent="0.25">
      <c r="A25" t="s">
        <v>56</v>
      </c>
      <c r="B25" s="1">
        <f>SUM(B2,B5:B6,B9,B13:B24)</f>
        <v>4493.5999999999995</v>
      </c>
      <c r="C25" s="1">
        <f t="shared" ref="C25:AJ25" si="0">SUM(C2,C5:C6,C9,C13:C24)</f>
        <v>149.69999999999999</v>
      </c>
      <c r="D25" s="1">
        <f t="shared" si="0"/>
        <v>818.40000000000009</v>
      </c>
      <c r="E25" s="1">
        <f t="shared" si="0"/>
        <v>68.900000000000006</v>
      </c>
      <c r="F25" s="1">
        <f t="shared" si="0"/>
        <v>14.599999999999998</v>
      </c>
      <c r="G25" s="1">
        <f t="shared" si="0"/>
        <v>9.9</v>
      </c>
      <c r="H25" s="1">
        <f t="shared" si="0"/>
        <v>1496.3000000000002</v>
      </c>
      <c r="I25" s="1">
        <f t="shared" si="0"/>
        <v>1935.8000000000002</v>
      </c>
      <c r="J25" s="1">
        <f t="shared" si="0"/>
        <v>9403.4000000000015</v>
      </c>
      <c r="K25" s="1">
        <f t="shared" si="0"/>
        <v>1906.5000000000002</v>
      </c>
      <c r="L25" s="1">
        <f t="shared" si="0"/>
        <v>1788.3999999999999</v>
      </c>
      <c r="M25" s="1">
        <f t="shared" si="0"/>
        <v>944.3</v>
      </c>
      <c r="N25" s="1">
        <f t="shared" si="0"/>
        <v>102.3</v>
      </c>
      <c r="O25" s="1">
        <f t="shared" si="0"/>
        <v>219.5</v>
      </c>
      <c r="P25" s="1">
        <f t="shared" si="0"/>
        <v>481</v>
      </c>
      <c r="Q25" s="1">
        <f t="shared" si="0"/>
        <v>75.8</v>
      </c>
      <c r="R25" s="1">
        <f t="shared" si="0"/>
        <v>192.1</v>
      </c>
      <c r="S25" s="1">
        <f t="shared" si="0"/>
        <v>3693.5</v>
      </c>
      <c r="T25" s="1">
        <f t="shared" si="0"/>
        <v>33744.300000000003</v>
      </c>
      <c r="U25" s="1">
        <f t="shared" si="0"/>
        <v>20323.899999999998</v>
      </c>
      <c r="V25" s="1">
        <f t="shared" si="0"/>
        <v>6161.7</v>
      </c>
      <c r="W25" s="1">
        <f t="shared" si="0"/>
        <v>7074.3</v>
      </c>
      <c r="X25" s="1">
        <f t="shared" si="0"/>
        <v>184.39999999999998</v>
      </c>
      <c r="Y25" s="1">
        <f t="shared" si="0"/>
        <v>6716.3</v>
      </c>
      <c r="Z25" s="1">
        <f t="shared" si="0"/>
        <v>4190.8999999999996</v>
      </c>
      <c r="AA25" s="1">
        <f t="shared" si="0"/>
        <v>23</v>
      </c>
      <c r="AB25" s="1">
        <f t="shared" si="0"/>
        <v>3</v>
      </c>
      <c r="AC25" s="1">
        <f t="shared" si="0"/>
        <v>2499.4</v>
      </c>
      <c r="AD25" s="1">
        <f t="shared" si="0"/>
        <v>22470.1</v>
      </c>
      <c r="AE25" s="1">
        <f t="shared" si="0"/>
        <v>10908.9</v>
      </c>
      <c r="AF25" s="1">
        <f t="shared" si="0"/>
        <v>1388.7999999999997</v>
      </c>
      <c r="AG25" s="1">
        <f t="shared" si="0"/>
        <v>10172.4</v>
      </c>
      <c r="AH25" s="1">
        <f t="shared" si="0"/>
        <v>13897</v>
      </c>
      <c r="AI25" s="1">
        <f t="shared" si="0"/>
        <v>62930.700000000004</v>
      </c>
      <c r="AJ25" s="1">
        <f t="shared" si="0"/>
        <v>76827.700000000012</v>
      </c>
      <c r="AK25" s="2">
        <v>2022</v>
      </c>
      <c r="AL25" s="2" t="s">
        <v>65</v>
      </c>
      <c r="AM25" s="2" t="s">
        <v>63</v>
      </c>
    </row>
    <row r="26" spans="1:39" x14ac:dyDescent="0.25">
      <c r="AK26" s="2"/>
      <c r="AL26" s="2"/>
      <c r="AM26" s="2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51A56-DEA9-4576-9751-6411F3002DDE}">
  <dimension ref="A1:AB36"/>
  <sheetViews>
    <sheetView topLeftCell="M1" workbookViewId="0">
      <selection activeCell="Y2" sqref="B2:Y36"/>
    </sheetView>
  </sheetViews>
  <sheetFormatPr defaultRowHeight="15" x14ac:dyDescent="0.25"/>
  <cols>
    <col min="1" max="1" width="17.28515625" bestFit="1" customWidth="1"/>
    <col min="2" max="2" width="18.140625" customWidth="1"/>
    <col min="3" max="3" width="19.140625" customWidth="1"/>
    <col min="4" max="4" width="20.140625" customWidth="1"/>
    <col min="5" max="5" width="13.85546875" customWidth="1"/>
    <col min="6" max="6" width="15.140625" customWidth="1"/>
    <col min="7" max="7" width="18.5703125" customWidth="1"/>
    <col min="8" max="8" width="18.42578125" customWidth="1"/>
    <col min="9" max="9" width="15.140625" customWidth="1"/>
    <col min="10" max="11" width="15.28515625" customWidth="1"/>
    <col min="12" max="12" width="15.140625" customWidth="1"/>
    <col min="13" max="13" width="12.42578125" customWidth="1"/>
    <col min="14" max="14" width="11.85546875" customWidth="1"/>
    <col min="15" max="15" width="12.28515625" customWidth="1"/>
    <col min="18" max="18" width="9.5703125" customWidth="1"/>
    <col min="20" max="20" width="10.5703125" customWidth="1"/>
    <col min="21" max="21" width="10.7109375" customWidth="1"/>
    <col min="22" max="22" width="10.42578125" customWidth="1"/>
    <col min="24" max="24" width="11.7109375" customWidth="1"/>
    <col min="27" max="27" width="11.5703125" bestFit="1" customWidth="1"/>
  </cols>
  <sheetData>
    <row r="1" spans="1:28" x14ac:dyDescent="0.25">
      <c r="A1" t="s">
        <v>64</v>
      </c>
      <c r="B1" t="s">
        <v>35</v>
      </c>
      <c r="C1" t="s">
        <v>36</v>
      </c>
      <c r="D1" t="s">
        <v>37</v>
      </c>
      <c r="E1" t="s">
        <v>33</v>
      </c>
      <c r="F1" t="s">
        <v>38</v>
      </c>
      <c r="G1" t="s">
        <v>34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60</v>
      </c>
      <c r="AA1" t="s">
        <v>61</v>
      </c>
      <c r="AB1" t="s">
        <v>62</v>
      </c>
    </row>
    <row r="2" spans="1:28" x14ac:dyDescent="0.25">
      <c r="A2" t="s">
        <v>1</v>
      </c>
      <c r="B2" s="1">
        <v>13.5</v>
      </c>
      <c r="C2" s="1">
        <v>13.5</v>
      </c>
      <c r="D2" s="1">
        <v>13.5</v>
      </c>
      <c r="E2" s="1">
        <v>0</v>
      </c>
      <c r="F2" s="1">
        <v>160</v>
      </c>
      <c r="G2" s="1">
        <v>65.8</v>
      </c>
      <c r="H2" s="1">
        <v>94.2</v>
      </c>
      <c r="I2" s="1">
        <v>108.8</v>
      </c>
      <c r="J2" s="1">
        <v>8.6999999999999993</v>
      </c>
      <c r="K2" s="1">
        <v>0</v>
      </c>
      <c r="L2" s="1">
        <v>100.10000000000001</v>
      </c>
      <c r="M2" s="1">
        <v>96.3</v>
      </c>
      <c r="N2" s="1">
        <v>0</v>
      </c>
      <c r="O2" s="1">
        <v>0</v>
      </c>
      <c r="P2" s="1">
        <v>1214.0999999999999</v>
      </c>
      <c r="Q2" s="1">
        <v>2833.6</v>
      </c>
      <c r="R2" s="1">
        <v>67.3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f t="shared" ref="Y2:Y36" si="0">SUM(B2,E2:F2,I2,M2:X2)</f>
        <v>4493.5999999999995</v>
      </c>
      <c r="Z2" s="2">
        <v>2022</v>
      </c>
      <c r="AA2" s="2" t="s">
        <v>65</v>
      </c>
      <c r="AB2" s="2" t="s">
        <v>63</v>
      </c>
    </row>
    <row r="3" spans="1:28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12</v>
      </c>
      <c r="G3" s="1">
        <v>0</v>
      </c>
      <c r="H3" s="1">
        <v>12</v>
      </c>
      <c r="I3" s="1">
        <v>2.7</v>
      </c>
      <c r="J3" s="1">
        <v>0</v>
      </c>
      <c r="K3" s="1">
        <v>0</v>
      </c>
      <c r="L3" s="1">
        <v>2.7</v>
      </c>
      <c r="M3" s="1">
        <v>0</v>
      </c>
      <c r="N3" s="1">
        <v>0</v>
      </c>
      <c r="O3" s="1">
        <v>0</v>
      </c>
      <c r="P3" s="1">
        <v>15</v>
      </c>
      <c r="Q3" s="1">
        <v>120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f t="shared" si="0"/>
        <v>149.69999999999999</v>
      </c>
      <c r="Z3" s="2">
        <v>2022</v>
      </c>
      <c r="AA3" s="2" t="s">
        <v>65</v>
      </c>
      <c r="AB3" s="2" t="s">
        <v>63</v>
      </c>
    </row>
    <row r="4" spans="1:28" x14ac:dyDescent="0.25">
      <c r="A4" t="s">
        <v>3</v>
      </c>
      <c r="B4" s="1">
        <v>8.1</v>
      </c>
      <c r="C4" s="1">
        <v>8.1</v>
      </c>
      <c r="D4" s="1">
        <v>8.1</v>
      </c>
      <c r="E4" s="1">
        <v>0</v>
      </c>
      <c r="F4" s="1">
        <v>25.6</v>
      </c>
      <c r="G4" s="1">
        <v>25.6</v>
      </c>
      <c r="H4" s="1">
        <v>0</v>
      </c>
      <c r="I4" s="1">
        <v>2.9</v>
      </c>
      <c r="J4" s="1">
        <v>2.9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286.2</v>
      </c>
      <c r="Q4" s="1">
        <v>495.6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f t="shared" si="0"/>
        <v>818.40000000000009</v>
      </c>
      <c r="Z4" s="2">
        <v>2022</v>
      </c>
      <c r="AA4" s="2" t="s">
        <v>65</v>
      </c>
      <c r="AB4" s="2" t="s">
        <v>63</v>
      </c>
    </row>
    <row r="5" spans="1:28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3.7</v>
      </c>
      <c r="G5" s="1">
        <v>3.7</v>
      </c>
      <c r="H5" s="1">
        <v>0</v>
      </c>
      <c r="I5" s="1">
        <v>5.3</v>
      </c>
      <c r="J5" s="1">
        <v>0</v>
      </c>
      <c r="K5" s="1">
        <v>0</v>
      </c>
      <c r="L5" s="1">
        <v>5.3</v>
      </c>
      <c r="M5" s="1">
        <v>0</v>
      </c>
      <c r="N5" s="1">
        <v>0</v>
      </c>
      <c r="O5" s="1">
        <v>0</v>
      </c>
      <c r="P5" s="1">
        <v>49.9</v>
      </c>
      <c r="Q5" s="1">
        <v>10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f t="shared" si="0"/>
        <v>68.900000000000006</v>
      </c>
      <c r="Z5" s="2">
        <v>2022</v>
      </c>
      <c r="AA5" s="2" t="s">
        <v>65</v>
      </c>
      <c r="AB5" s="2" t="s">
        <v>63</v>
      </c>
    </row>
    <row r="6" spans="1:28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1.9</v>
      </c>
      <c r="G6" s="1">
        <v>1.9</v>
      </c>
      <c r="H6" s="1">
        <v>0</v>
      </c>
      <c r="I6" s="1">
        <v>2.2999999999999998</v>
      </c>
      <c r="J6" s="1">
        <v>0</v>
      </c>
      <c r="K6" s="1">
        <v>0</v>
      </c>
      <c r="L6" s="1">
        <v>2.2999999999999998</v>
      </c>
      <c r="M6" s="1">
        <v>0</v>
      </c>
      <c r="N6" s="1">
        <v>0</v>
      </c>
      <c r="O6" s="1">
        <v>0</v>
      </c>
      <c r="P6" s="1">
        <v>3.8</v>
      </c>
      <c r="Q6" s="1">
        <v>6.6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f t="shared" si="0"/>
        <v>14.599999999999998</v>
      </c>
      <c r="Z6" s="2">
        <v>2022</v>
      </c>
      <c r="AA6" s="2" t="s">
        <v>65</v>
      </c>
      <c r="AB6" s="2" t="s">
        <v>63</v>
      </c>
    </row>
    <row r="7" spans="1:28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0.9</v>
      </c>
      <c r="G7" s="1">
        <v>0.9</v>
      </c>
      <c r="H7" s="1">
        <v>0</v>
      </c>
      <c r="I7" s="1">
        <v>1.2</v>
      </c>
      <c r="J7" s="1">
        <v>1.2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1.3</v>
      </c>
      <c r="Q7" s="1">
        <v>6.5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f t="shared" si="0"/>
        <v>9.9</v>
      </c>
      <c r="Z7" s="2">
        <v>2022</v>
      </c>
      <c r="AA7" s="2" t="s">
        <v>65</v>
      </c>
      <c r="AB7" s="2" t="s">
        <v>63</v>
      </c>
    </row>
    <row r="8" spans="1:28" x14ac:dyDescent="0.25">
      <c r="A8" t="s">
        <v>7</v>
      </c>
      <c r="B8" s="1">
        <v>0</v>
      </c>
      <c r="C8" s="1">
        <v>0</v>
      </c>
      <c r="D8" s="1">
        <v>0</v>
      </c>
      <c r="E8" s="1">
        <v>0</v>
      </c>
      <c r="F8" s="1">
        <v>34</v>
      </c>
      <c r="G8" s="1">
        <v>29.7</v>
      </c>
      <c r="H8" s="1">
        <v>4.3</v>
      </c>
      <c r="I8" s="1">
        <v>27.900000000000002</v>
      </c>
      <c r="J8" s="1">
        <v>4.3</v>
      </c>
      <c r="K8" s="1">
        <v>0</v>
      </c>
      <c r="L8" s="1">
        <v>23.6</v>
      </c>
      <c r="M8" s="1">
        <v>64</v>
      </c>
      <c r="N8" s="1">
        <v>0</v>
      </c>
      <c r="O8" s="1">
        <v>0</v>
      </c>
      <c r="P8" s="1">
        <v>423.1</v>
      </c>
      <c r="Q8" s="1">
        <v>925.4</v>
      </c>
      <c r="R8" s="1">
        <v>21.9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f t="shared" si="0"/>
        <v>1496.3000000000002</v>
      </c>
      <c r="Z8" s="2">
        <v>2022</v>
      </c>
      <c r="AA8" s="2" t="s">
        <v>65</v>
      </c>
      <c r="AB8" s="2" t="s">
        <v>63</v>
      </c>
    </row>
    <row r="9" spans="1:28" x14ac:dyDescent="0.25">
      <c r="A9" t="s">
        <v>8</v>
      </c>
      <c r="B9" s="1">
        <v>5.4</v>
      </c>
      <c r="C9" s="1">
        <v>5.4</v>
      </c>
      <c r="D9" s="1">
        <v>5.4</v>
      </c>
      <c r="E9" s="1">
        <v>0</v>
      </c>
      <c r="F9" s="1">
        <v>81.900000000000006</v>
      </c>
      <c r="G9" s="1">
        <v>4</v>
      </c>
      <c r="H9" s="1">
        <v>77.900000000000006</v>
      </c>
      <c r="I9" s="1">
        <v>66.5</v>
      </c>
      <c r="J9" s="1">
        <v>0.3</v>
      </c>
      <c r="K9" s="1">
        <v>0</v>
      </c>
      <c r="L9" s="1">
        <v>66.2</v>
      </c>
      <c r="M9" s="1">
        <v>32.299999999999997</v>
      </c>
      <c r="N9" s="1">
        <v>0</v>
      </c>
      <c r="O9" s="1">
        <v>0</v>
      </c>
      <c r="P9" s="1">
        <v>434.79999999999995</v>
      </c>
      <c r="Q9" s="1">
        <v>1269.5</v>
      </c>
      <c r="R9" s="1">
        <v>45.4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f t="shared" si="0"/>
        <v>1935.8000000000002</v>
      </c>
      <c r="Z9" s="2">
        <v>2022</v>
      </c>
      <c r="AA9" s="2" t="s">
        <v>65</v>
      </c>
      <c r="AB9" s="2" t="s">
        <v>63</v>
      </c>
    </row>
    <row r="10" spans="1:28" x14ac:dyDescent="0.25">
      <c r="A10" t="s">
        <v>9</v>
      </c>
      <c r="B10" s="1">
        <v>358.5</v>
      </c>
      <c r="C10" s="1">
        <v>358.5</v>
      </c>
      <c r="D10" s="1">
        <v>358.5</v>
      </c>
      <c r="E10" s="1">
        <v>3.7</v>
      </c>
      <c r="F10" s="1">
        <v>161.69999999999999</v>
      </c>
      <c r="G10" s="1">
        <v>142.89999999999998</v>
      </c>
      <c r="H10" s="1">
        <v>18.8</v>
      </c>
      <c r="I10" s="1">
        <v>1421.7</v>
      </c>
      <c r="J10" s="1">
        <v>357.2</v>
      </c>
      <c r="K10" s="1">
        <v>18.2</v>
      </c>
      <c r="L10" s="1">
        <v>1046.3</v>
      </c>
      <c r="M10" s="1">
        <v>0</v>
      </c>
      <c r="N10" s="1">
        <v>0</v>
      </c>
      <c r="O10" s="1">
        <v>49.3</v>
      </c>
      <c r="P10" s="1">
        <v>3278.2</v>
      </c>
      <c r="Q10" s="1">
        <v>3943.6000000000004</v>
      </c>
      <c r="R10" s="1">
        <v>179.7</v>
      </c>
      <c r="S10" s="1">
        <v>0</v>
      </c>
      <c r="T10" s="1">
        <v>0</v>
      </c>
      <c r="U10" s="1">
        <v>0</v>
      </c>
      <c r="V10" s="1">
        <v>0</v>
      </c>
      <c r="W10" s="1">
        <v>7</v>
      </c>
      <c r="X10" s="1">
        <v>0</v>
      </c>
      <c r="Y10" s="1">
        <f t="shared" si="0"/>
        <v>9403.4000000000015</v>
      </c>
      <c r="Z10" s="2">
        <v>2022</v>
      </c>
      <c r="AA10" s="2" t="s">
        <v>65</v>
      </c>
      <c r="AB10" s="2" t="s">
        <v>63</v>
      </c>
    </row>
    <row r="11" spans="1:28" x14ac:dyDescent="0.25">
      <c r="A11" t="s">
        <v>10</v>
      </c>
      <c r="B11" s="1">
        <v>28.1</v>
      </c>
      <c r="C11" s="1">
        <v>28.1</v>
      </c>
      <c r="D11" s="1">
        <v>28.1</v>
      </c>
      <c r="E11" s="1">
        <v>0</v>
      </c>
      <c r="F11" s="1">
        <v>101.2</v>
      </c>
      <c r="G11" s="1">
        <v>98.3</v>
      </c>
      <c r="H11" s="1">
        <v>2.9</v>
      </c>
      <c r="I11" s="1">
        <v>50.4</v>
      </c>
      <c r="J11" s="1">
        <v>0</v>
      </c>
      <c r="K11" s="1">
        <v>0</v>
      </c>
      <c r="L11" s="1">
        <v>50.4</v>
      </c>
      <c r="M11" s="1">
        <v>0</v>
      </c>
      <c r="N11" s="1">
        <v>0</v>
      </c>
      <c r="O11" s="1">
        <v>0</v>
      </c>
      <c r="P11" s="1">
        <v>608.5</v>
      </c>
      <c r="Q11" s="1">
        <v>1108.4000000000001</v>
      </c>
      <c r="R11" s="1">
        <v>9.9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f t="shared" si="0"/>
        <v>1906.5000000000002</v>
      </c>
      <c r="Z11" s="2">
        <v>2022</v>
      </c>
      <c r="AA11" s="2" t="s">
        <v>65</v>
      </c>
      <c r="AB11" s="2" t="s">
        <v>63</v>
      </c>
    </row>
    <row r="12" spans="1:28" x14ac:dyDescent="0.25">
      <c r="A12" t="s">
        <v>11</v>
      </c>
      <c r="B12" s="1">
        <v>18.100000000000001</v>
      </c>
      <c r="C12" s="1">
        <v>18.100000000000001</v>
      </c>
      <c r="D12" s="1">
        <v>18.100000000000001</v>
      </c>
      <c r="E12" s="1">
        <v>0</v>
      </c>
      <c r="F12" s="1">
        <v>45.4</v>
      </c>
      <c r="G12" s="1">
        <v>40.9</v>
      </c>
      <c r="H12" s="1">
        <v>4.5</v>
      </c>
      <c r="I12" s="1">
        <v>193.4</v>
      </c>
      <c r="J12" s="1">
        <v>0</v>
      </c>
      <c r="K12" s="1">
        <v>0</v>
      </c>
      <c r="L12" s="1">
        <v>193.4</v>
      </c>
      <c r="M12" s="1">
        <v>0</v>
      </c>
      <c r="N12" s="1">
        <v>0</v>
      </c>
      <c r="O12" s="1">
        <v>0</v>
      </c>
      <c r="P12" s="1">
        <v>596.6</v>
      </c>
      <c r="Q12" s="1">
        <v>912.8</v>
      </c>
      <c r="R12" s="1">
        <v>22.1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f t="shared" si="0"/>
        <v>1788.3999999999999</v>
      </c>
      <c r="Z12" s="2">
        <v>2022</v>
      </c>
      <c r="AA12" s="2" t="s">
        <v>65</v>
      </c>
      <c r="AB12" s="2" t="s">
        <v>63</v>
      </c>
    </row>
    <row r="13" spans="1:28" x14ac:dyDescent="0.25">
      <c r="A13" t="s">
        <v>12</v>
      </c>
      <c r="B13" s="1">
        <v>2.2999999999999998</v>
      </c>
      <c r="C13" s="1">
        <v>2.2999999999999998</v>
      </c>
      <c r="D13" s="1">
        <v>2.2999999999999998</v>
      </c>
      <c r="E13" s="1">
        <v>0.4</v>
      </c>
      <c r="F13" s="1">
        <v>5</v>
      </c>
      <c r="G13" s="1">
        <v>2.6</v>
      </c>
      <c r="H13" s="1">
        <v>2.4</v>
      </c>
      <c r="I13" s="1">
        <v>363</v>
      </c>
      <c r="J13" s="1">
        <v>5</v>
      </c>
      <c r="K13" s="1">
        <v>0</v>
      </c>
      <c r="L13" s="1">
        <v>358</v>
      </c>
      <c r="M13" s="1">
        <v>0</v>
      </c>
      <c r="N13" s="1">
        <v>0</v>
      </c>
      <c r="O13" s="1">
        <v>0.5</v>
      </c>
      <c r="P13" s="1">
        <v>573.1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f t="shared" si="0"/>
        <v>944.3</v>
      </c>
      <c r="Z13" s="2">
        <v>2022</v>
      </c>
      <c r="AA13" s="2" t="s">
        <v>65</v>
      </c>
      <c r="AB13" s="2" t="s">
        <v>63</v>
      </c>
    </row>
    <row r="14" spans="1:28" x14ac:dyDescent="0.25">
      <c r="A14" t="s">
        <v>13</v>
      </c>
      <c r="B14" s="1">
        <v>0.3</v>
      </c>
      <c r="C14" s="1">
        <v>0.3</v>
      </c>
      <c r="D14" s="1">
        <v>0.3</v>
      </c>
      <c r="E14" s="1">
        <v>0</v>
      </c>
      <c r="F14" s="1">
        <v>0.8</v>
      </c>
      <c r="G14" s="1">
        <v>0</v>
      </c>
      <c r="H14" s="1">
        <v>0.8</v>
      </c>
      <c r="I14" s="1">
        <v>48.1</v>
      </c>
      <c r="J14" s="1">
        <v>0</v>
      </c>
      <c r="K14" s="1">
        <v>0</v>
      </c>
      <c r="L14" s="1">
        <v>48.1</v>
      </c>
      <c r="M14" s="1">
        <v>0</v>
      </c>
      <c r="N14" s="1">
        <v>0</v>
      </c>
      <c r="O14" s="1">
        <v>0</v>
      </c>
      <c r="P14" s="1">
        <v>52.4</v>
      </c>
      <c r="Q14" s="1">
        <v>0</v>
      </c>
      <c r="R14" s="1">
        <v>0.7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f t="shared" si="0"/>
        <v>102.3</v>
      </c>
      <c r="Z14" s="2">
        <v>2022</v>
      </c>
      <c r="AA14" s="2" t="s">
        <v>65</v>
      </c>
      <c r="AB14" s="2" t="s">
        <v>63</v>
      </c>
    </row>
    <row r="15" spans="1:28" x14ac:dyDescent="0.25">
      <c r="A15" t="s">
        <v>14</v>
      </c>
      <c r="B15" s="1">
        <v>1.2</v>
      </c>
      <c r="C15" s="1">
        <v>1.2</v>
      </c>
      <c r="D15" s="1">
        <v>1.2</v>
      </c>
      <c r="E15" s="1">
        <v>0.7</v>
      </c>
      <c r="F15" s="1">
        <v>1.1000000000000001</v>
      </c>
      <c r="G15" s="1">
        <v>1.1000000000000001</v>
      </c>
      <c r="H15" s="1">
        <v>0</v>
      </c>
      <c r="I15" s="1">
        <v>100.4</v>
      </c>
      <c r="J15" s="1">
        <v>25</v>
      </c>
      <c r="K15" s="1">
        <v>2</v>
      </c>
      <c r="L15" s="1">
        <v>73.400000000000006</v>
      </c>
      <c r="M15" s="1">
        <v>0</v>
      </c>
      <c r="N15" s="1">
        <v>0</v>
      </c>
      <c r="O15" s="1">
        <v>0</v>
      </c>
      <c r="P15" s="1">
        <v>116.1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f t="shared" si="0"/>
        <v>219.5</v>
      </c>
      <c r="Z15" s="2">
        <v>2022</v>
      </c>
      <c r="AA15" s="2" t="s">
        <v>65</v>
      </c>
      <c r="AB15" s="2" t="s">
        <v>63</v>
      </c>
    </row>
    <row r="16" spans="1:28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0.2</v>
      </c>
      <c r="G16" s="1">
        <v>0</v>
      </c>
      <c r="H16" s="1">
        <v>0.2</v>
      </c>
      <c r="I16" s="1">
        <v>227</v>
      </c>
      <c r="J16" s="1">
        <v>84.5</v>
      </c>
      <c r="K16" s="1">
        <v>16.2</v>
      </c>
      <c r="L16" s="1">
        <v>126.3</v>
      </c>
      <c r="M16" s="1">
        <v>0</v>
      </c>
      <c r="N16" s="1">
        <v>0</v>
      </c>
      <c r="O16" s="1">
        <v>0</v>
      </c>
      <c r="P16" s="1">
        <v>253.8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f t="shared" si="0"/>
        <v>481</v>
      </c>
      <c r="Z16" s="2">
        <v>2022</v>
      </c>
      <c r="AA16" s="2" t="s">
        <v>65</v>
      </c>
      <c r="AB16" s="2" t="s">
        <v>63</v>
      </c>
    </row>
    <row r="17" spans="1:28" x14ac:dyDescent="0.25">
      <c r="A17" t="s">
        <v>16</v>
      </c>
      <c r="B17" s="1">
        <v>0.5</v>
      </c>
      <c r="C17" s="1">
        <v>0.5</v>
      </c>
      <c r="D17" s="1">
        <v>0.5</v>
      </c>
      <c r="E17" s="1">
        <v>0</v>
      </c>
      <c r="F17" s="1">
        <v>1.8</v>
      </c>
      <c r="G17" s="1">
        <v>0</v>
      </c>
      <c r="H17" s="1">
        <v>1.8</v>
      </c>
      <c r="I17" s="1">
        <v>30.599999999999998</v>
      </c>
      <c r="J17" s="1">
        <v>24.4</v>
      </c>
      <c r="K17" s="1">
        <v>0</v>
      </c>
      <c r="L17" s="1">
        <v>6.2</v>
      </c>
      <c r="M17" s="1">
        <v>0</v>
      </c>
      <c r="N17" s="1">
        <v>0</v>
      </c>
      <c r="O17" s="1">
        <v>0</v>
      </c>
      <c r="P17" s="1">
        <v>40.200000000000003</v>
      </c>
      <c r="Q17" s="1">
        <v>2.7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f t="shared" si="0"/>
        <v>75.8</v>
      </c>
      <c r="Z17" s="2">
        <v>2022</v>
      </c>
      <c r="AA17" s="2" t="s">
        <v>65</v>
      </c>
      <c r="AB17" s="2" t="s">
        <v>63</v>
      </c>
    </row>
    <row r="18" spans="1:28" x14ac:dyDescent="0.25">
      <c r="A18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6.2</v>
      </c>
      <c r="G18" s="1">
        <v>0</v>
      </c>
      <c r="H18" s="1">
        <v>6.2</v>
      </c>
      <c r="I18" s="1">
        <v>3.7</v>
      </c>
      <c r="J18" s="1">
        <v>3.7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182.2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f t="shared" si="0"/>
        <v>192.1</v>
      </c>
      <c r="Z18" s="2">
        <v>2022</v>
      </c>
      <c r="AA18" s="2" t="s">
        <v>65</v>
      </c>
      <c r="AB18" s="2" t="s">
        <v>63</v>
      </c>
    </row>
    <row r="19" spans="1:28" x14ac:dyDescent="0.25">
      <c r="A19" t="s">
        <v>18</v>
      </c>
      <c r="B19" s="1">
        <v>308</v>
      </c>
      <c r="C19" s="1">
        <v>308</v>
      </c>
      <c r="D19" s="1">
        <v>308</v>
      </c>
      <c r="E19" s="1">
        <v>2.6</v>
      </c>
      <c r="F19" s="1">
        <v>0</v>
      </c>
      <c r="G19" s="1">
        <v>0</v>
      </c>
      <c r="H19" s="1">
        <v>0</v>
      </c>
      <c r="I19" s="1">
        <v>405.1</v>
      </c>
      <c r="J19" s="1">
        <v>214.6</v>
      </c>
      <c r="K19" s="1">
        <v>0</v>
      </c>
      <c r="L19" s="1">
        <v>190.5</v>
      </c>
      <c r="M19" s="1">
        <v>0</v>
      </c>
      <c r="N19" s="1">
        <v>0</v>
      </c>
      <c r="O19" s="1">
        <v>48.8</v>
      </c>
      <c r="P19" s="1">
        <v>855.3</v>
      </c>
      <c r="Q19" s="1">
        <v>1919.7</v>
      </c>
      <c r="R19" s="1">
        <v>147</v>
      </c>
      <c r="S19" s="1">
        <v>0</v>
      </c>
      <c r="T19" s="1">
        <v>0</v>
      </c>
      <c r="U19" s="1">
        <v>0</v>
      </c>
      <c r="V19" s="1">
        <v>0</v>
      </c>
      <c r="W19" s="1">
        <v>7</v>
      </c>
      <c r="X19" s="1">
        <v>0</v>
      </c>
      <c r="Y19" s="1">
        <f t="shared" si="0"/>
        <v>3693.5</v>
      </c>
      <c r="Z19" s="2">
        <v>2022</v>
      </c>
      <c r="AA19" s="2" t="s">
        <v>65</v>
      </c>
      <c r="AB19" s="2" t="s">
        <v>63</v>
      </c>
    </row>
    <row r="20" spans="1:28" x14ac:dyDescent="0.25">
      <c r="A20" t="s">
        <v>57</v>
      </c>
      <c r="B20" s="1">
        <v>1227.3</v>
      </c>
      <c r="C20" s="1">
        <v>1227.3</v>
      </c>
      <c r="D20" s="1">
        <v>1227.3</v>
      </c>
      <c r="E20" s="1">
        <v>5.7</v>
      </c>
      <c r="F20" s="1">
        <v>107.7</v>
      </c>
      <c r="G20" s="1">
        <v>79.400000000000006</v>
      </c>
      <c r="H20" s="1">
        <v>28.3</v>
      </c>
      <c r="I20" s="1">
        <v>283.2</v>
      </c>
      <c r="J20" s="1">
        <v>186.29999999999998</v>
      </c>
      <c r="K20" s="1">
        <v>1.2</v>
      </c>
      <c r="L20" s="1">
        <v>95.699999999999989</v>
      </c>
      <c r="M20" s="1">
        <v>117.6</v>
      </c>
      <c r="N20" s="1">
        <v>36.5</v>
      </c>
      <c r="O20" s="1">
        <v>0.8</v>
      </c>
      <c r="P20" s="1">
        <v>11142.500000000002</v>
      </c>
      <c r="Q20" s="1">
        <v>20145</v>
      </c>
      <c r="R20" s="1">
        <v>545.29999999999995</v>
      </c>
      <c r="S20" s="1">
        <v>49</v>
      </c>
      <c r="T20" s="1">
        <v>0</v>
      </c>
      <c r="U20" s="1">
        <v>0</v>
      </c>
      <c r="V20" s="1">
        <v>0</v>
      </c>
      <c r="W20" s="1">
        <v>83.7</v>
      </c>
      <c r="X20" s="1">
        <v>0</v>
      </c>
      <c r="Y20" s="1">
        <f t="shared" si="0"/>
        <v>33744.300000000003</v>
      </c>
      <c r="Z20" s="2">
        <v>2022</v>
      </c>
      <c r="AA20" s="2" t="s">
        <v>65</v>
      </c>
      <c r="AB20" s="2" t="s">
        <v>63</v>
      </c>
    </row>
    <row r="21" spans="1:28" x14ac:dyDescent="0.25">
      <c r="A21" t="s">
        <v>19</v>
      </c>
      <c r="B21" s="1">
        <v>1170.9000000000001</v>
      </c>
      <c r="C21" s="1">
        <v>1170.9000000000001</v>
      </c>
      <c r="D21" s="1">
        <v>1170.9000000000001</v>
      </c>
      <c r="E21" s="1">
        <v>0</v>
      </c>
      <c r="F21" s="1">
        <v>83.800000000000011</v>
      </c>
      <c r="G21" s="1">
        <v>76.400000000000006</v>
      </c>
      <c r="H21" s="1">
        <v>7.4</v>
      </c>
      <c r="I21" s="1">
        <v>157.30000000000001</v>
      </c>
      <c r="J21" s="1">
        <v>76.699999999999989</v>
      </c>
      <c r="K21" s="1">
        <v>0</v>
      </c>
      <c r="L21" s="1">
        <v>80.599999999999994</v>
      </c>
      <c r="M21" s="1">
        <v>114.6</v>
      </c>
      <c r="N21" s="1">
        <v>9.8000000000000007</v>
      </c>
      <c r="O21" s="1">
        <v>0.8</v>
      </c>
      <c r="P21" s="1">
        <v>6959</v>
      </c>
      <c r="Q21" s="1">
        <v>11763.9</v>
      </c>
      <c r="R21" s="1">
        <v>63.8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f t="shared" si="0"/>
        <v>20323.899999999998</v>
      </c>
      <c r="Z21" s="2">
        <v>2022</v>
      </c>
      <c r="AA21" s="2" t="s">
        <v>65</v>
      </c>
      <c r="AB21" s="2" t="s">
        <v>63</v>
      </c>
    </row>
    <row r="22" spans="1:28" x14ac:dyDescent="0.25">
      <c r="A22" t="s">
        <v>20</v>
      </c>
      <c r="B22" s="1">
        <v>29.3</v>
      </c>
      <c r="C22" s="1">
        <v>29.3</v>
      </c>
      <c r="D22" s="1">
        <v>29.3</v>
      </c>
      <c r="E22" s="1">
        <v>5.7</v>
      </c>
      <c r="F22" s="1">
        <v>7.6</v>
      </c>
      <c r="G22" s="1">
        <v>0</v>
      </c>
      <c r="H22" s="1">
        <v>7.6</v>
      </c>
      <c r="I22" s="1">
        <v>8.3000000000000007</v>
      </c>
      <c r="J22" s="1">
        <v>8.3000000000000007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2192.6999999999998</v>
      </c>
      <c r="Q22" s="1">
        <v>3760.8</v>
      </c>
      <c r="R22" s="1">
        <v>87.8</v>
      </c>
      <c r="S22" s="1">
        <v>49</v>
      </c>
      <c r="T22" s="1">
        <v>0</v>
      </c>
      <c r="U22" s="1">
        <v>0</v>
      </c>
      <c r="V22" s="1">
        <v>0</v>
      </c>
      <c r="W22" s="1">
        <v>20.5</v>
      </c>
      <c r="X22" s="1">
        <v>0</v>
      </c>
      <c r="Y22" s="1">
        <f t="shared" si="0"/>
        <v>6161.7</v>
      </c>
      <c r="Z22" s="2">
        <v>2022</v>
      </c>
      <c r="AA22" s="2" t="s">
        <v>65</v>
      </c>
      <c r="AB22" s="2" t="s">
        <v>63</v>
      </c>
    </row>
    <row r="23" spans="1:28" x14ac:dyDescent="0.25">
      <c r="A23" t="s">
        <v>21</v>
      </c>
      <c r="B23" s="1">
        <v>27.1</v>
      </c>
      <c r="C23" s="1">
        <v>27.1</v>
      </c>
      <c r="D23" s="1">
        <v>27.1</v>
      </c>
      <c r="E23" s="1">
        <v>0</v>
      </c>
      <c r="F23" s="1">
        <v>16.3</v>
      </c>
      <c r="G23" s="1">
        <v>3</v>
      </c>
      <c r="H23" s="1">
        <v>13.3</v>
      </c>
      <c r="I23" s="1">
        <v>103.4</v>
      </c>
      <c r="J23" s="1">
        <v>88.4</v>
      </c>
      <c r="K23" s="1">
        <v>0</v>
      </c>
      <c r="L23" s="1">
        <v>15</v>
      </c>
      <c r="M23" s="1">
        <v>3</v>
      </c>
      <c r="N23" s="1">
        <v>26</v>
      </c>
      <c r="O23" s="1">
        <v>0</v>
      </c>
      <c r="P23" s="1">
        <v>1919.6</v>
      </c>
      <c r="Q23" s="1">
        <v>4534.2</v>
      </c>
      <c r="R23" s="1">
        <v>384.7</v>
      </c>
      <c r="S23" s="1">
        <v>0</v>
      </c>
      <c r="T23" s="1">
        <v>0</v>
      </c>
      <c r="U23" s="1">
        <v>0</v>
      </c>
      <c r="V23" s="1">
        <v>0</v>
      </c>
      <c r="W23" s="1">
        <v>60</v>
      </c>
      <c r="X23" s="1">
        <v>0</v>
      </c>
      <c r="Y23" s="1">
        <f t="shared" si="0"/>
        <v>7074.3</v>
      </c>
      <c r="Z23" s="2">
        <v>2022</v>
      </c>
      <c r="AA23" s="2" t="s">
        <v>65</v>
      </c>
      <c r="AB23" s="2" t="s">
        <v>63</v>
      </c>
    </row>
    <row r="24" spans="1:28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14.2</v>
      </c>
      <c r="J24" s="1">
        <v>12.9</v>
      </c>
      <c r="K24" s="1">
        <v>1.2</v>
      </c>
      <c r="L24" s="1">
        <v>0.1</v>
      </c>
      <c r="M24" s="1">
        <v>0</v>
      </c>
      <c r="N24" s="1">
        <v>0.7</v>
      </c>
      <c r="O24" s="1">
        <v>0</v>
      </c>
      <c r="P24" s="1">
        <v>71.2</v>
      </c>
      <c r="Q24" s="1">
        <v>86.1</v>
      </c>
      <c r="R24" s="1">
        <v>9</v>
      </c>
      <c r="S24" s="1">
        <v>0</v>
      </c>
      <c r="T24" s="1">
        <v>0</v>
      </c>
      <c r="U24" s="1">
        <v>0</v>
      </c>
      <c r="V24" s="1">
        <v>0</v>
      </c>
      <c r="W24" s="1">
        <v>3.2</v>
      </c>
      <c r="X24" s="1">
        <v>0</v>
      </c>
      <c r="Y24" s="1">
        <f t="shared" si="0"/>
        <v>184.39999999999998</v>
      </c>
      <c r="Z24" s="2">
        <v>2022</v>
      </c>
      <c r="AA24" s="2" t="s">
        <v>65</v>
      </c>
      <c r="AB24" s="2" t="s">
        <v>63</v>
      </c>
    </row>
    <row r="25" spans="1:28" x14ac:dyDescent="0.25">
      <c r="A25" t="s">
        <v>23</v>
      </c>
      <c r="B25" s="1">
        <v>41.3</v>
      </c>
      <c r="C25" s="1">
        <v>41.3</v>
      </c>
      <c r="D25" s="1">
        <v>41.3</v>
      </c>
      <c r="E25" s="1">
        <v>199.70000000000002</v>
      </c>
      <c r="F25" s="1">
        <v>12.399999999999999</v>
      </c>
      <c r="G25" s="1">
        <v>2.8</v>
      </c>
      <c r="H25" s="1">
        <v>9.6</v>
      </c>
      <c r="I25" s="1">
        <v>388.19999999999993</v>
      </c>
      <c r="J25" s="1">
        <v>357.1</v>
      </c>
      <c r="K25" s="1">
        <v>15.299999999999999</v>
      </c>
      <c r="L25" s="1">
        <v>15.799999999999999</v>
      </c>
      <c r="M25" s="1">
        <v>0</v>
      </c>
      <c r="N25" s="1">
        <v>1.9</v>
      </c>
      <c r="O25" s="1">
        <v>0</v>
      </c>
      <c r="P25" s="1">
        <v>2252.1999999999998</v>
      </c>
      <c r="Q25" s="1">
        <v>3367.3</v>
      </c>
      <c r="R25" s="1">
        <v>246.9</v>
      </c>
      <c r="S25" s="1">
        <v>0</v>
      </c>
      <c r="T25" s="1">
        <v>0</v>
      </c>
      <c r="U25" s="1">
        <v>0</v>
      </c>
      <c r="V25" s="1">
        <v>0</v>
      </c>
      <c r="W25" s="1">
        <v>204.60000000000002</v>
      </c>
      <c r="X25" s="1">
        <v>1.8</v>
      </c>
      <c r="Y25" s="1">
        <f t="shared" si="0"/>
        <v>6716.3</v>
      </c>
      <c r="Z25" s="2">
        <v>2022</v>
      </c>
      <c r="AA25" s="2" t="s">
        <v>65</v>
      </c>
      <c r="AB25" s="2" t="s">
        <v>63</v>
      </c>
    </row>
    <row r="26" spans="1:28" x14ac:dyDescent="0.25">
      <c r="A26" t="s">
        <v>24</v>
      </c>
      <c r="B26" s="1">
        <v>29.4</v>
      </c>
      <c r="C26" s="1">
        <v>29.4</v>
      </c>
      <c r="D26" s="1">
        <v>29.4</v>
      </c>
      <c r="E26" s="1">
        <v>5.9</v>
      </c>
      <c r="F26" s="1">
        <v>2.5999999999999996</v>
      </c>
      <c r="G26" s="1">
        <v>1.2</v>
      </c>
      <c r="H26" s="1">
        <v>1.4</v>
      </c>
      <c r="I26" s="1">
        <v>306.39999999999998</v>
      </c>
      <c r="J26" s="1">
        <v>276.2</v>
      </c>
      <c r="K26" s="1">
        <v>14.399999999999999</v>
      </c>
      <c r="L26" s="1">
        <v>15.799999999999999</v>
      </c>
      <c r="M26" s="1">
        <v>0</v>
      </c>
      <c r="N26" s="1">
        <v>1.9</v>
      </c>
      <c r="O26" s="1">
        <v>0</v>
      </c>
      <c r="P26" s="1">
        <v>1408</v>
      </c>
      <c r="Q26" s="1">
        <v>2095.9</v>
      </c>
      <c r="R26" s="1">
        <v>231.9</v>
      </c>
      <c r="S26" s="1">
        <v>0</v>
      </c>
      <c r="T26" s="1">
        <v>0</v>
      </c>
      <c r="U26" s="1">
        <v>0</v>
      </c>
      <c r="V26" s="1">
        <v>0</v>
      </c>
      <c r="W26" s="1">
        <v>108.9</v>
      </c>
      <c r="X26" s="1">
        <v>0</v>
      </c>
      <c r="Y26" s="1">
        <f t="shared" si="0"/>
        <v>4190.8999999999996</v>
      </c>
      <c r="Z26" s="2">
        <v>2022</v>
      </c>
      <c r="AA26" s="2" t="s">
        <v>65</v>
      </c>
      <c r="AB26" s="2" t="s">
        <v>63</v>
      </c>
    </row>
    <row r="27" spans="1:28" x14ac:dyDescent="0.25">
      <c r="A27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0.1</v>
      </c>
      <c r="G27" s="1">
        <v>0.1</v>
      </c>
      <c r="H27" s="1">
        <v>0</v>
      </c>
      <c r="I27" s="1">
        <v>9.5</v>
      </c>
      <c r="J27" s="1">
        <v>9.5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13.4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f t="shared" si="0"/>
        <v>23</v>
      </c>
      <c r="Z27" s="2">
        <v>2022</v>
      </c>
      <c r="AA27" s="2" t="s">
        <v>65</v>
      </c>
      <c r="AB27" s="2" t="s">
        <v>63</v>
      </c>
    </row>
    <row r="28" spans="1:28" x14ac:dyDescent="0.2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0.3</v>
      </c>
      <c r="G28" s="1">
        <v>0.3</v>
      </c>
      <c r="H28" s="1">
        <v>0</v>
      </c>
      <c r="I28" s="1">
        <v>0.9</v>
      </c>
      <c r="J28" s="1">
        <v>0</v>
      </c>
      <c r="K28" s="1">
        <v>0.9</v>
      </c>
      <c r="L28" s="1">
        <v>0</v>
      </c>
      <c r="M28" s="1">
        <v>0</v>
      </c>
      <c r="N28" s="1">
        <v>0</v>
      </c>
      <c r="O28" s="1">
        <v>0</v>
      </c>
      <c r="P28" s="1">
        <v>1.8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f t="shared" si="0"/>
        <v>3</v>
      </c>
      <c r="Z28" s="2">
        <v>2022</v>
      </c>
      <c r="AA28" s="2" t="s">
        <v>65</v>
      </c>
      <c r="AB28" s="2" t="s">
        <v>63</v>
      </c>
    </row>
    <row r="29" spans="1:28" x14ac:dyDescent="0.25">
      <c r="A29" t="s">
        <v>27</v>
      </c>
      <c r="B29" s="1">
        <v>11.9</v>
      </c>
      <c r="C29" s="1">
        <v>11.9</v>
      </c>
      <c r="D29" s="1">
        <v>11.9</v>
      </c>
      <c r="E29" s="1">
        <v>193.8</v>
      </c>
      <c r="F29" s="1">
        <v>9.3999999999999986</v>
      </c>
      <c r="G29" s="1">
        <v>1.2</v>
      </c>
      <c r="H29" s="1">
        <v>8.1999999999999993</v>
      </c>
      <c r="I29" s="1">
        <v>71.400000000000006</v>
      </c>
      <c r="J29" s="1">
        <v>71.400000000000006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829</v>
      </c>
      <c r="Q29" s="1">
        <v>1271.4000000000001</v>
      </c>
      <c r="R29" s="1">
        <v>15</v>
      </c>
      <c r="S29" s="1">
        <v>0</v>
      </c>
      <c r="T29" s="1">
        <v>0</v>
      </c>
      <c r="U29" s="1">
        <v>0</v>
      </c>
      <c r="V29" s="1">
        <v>0</v>
      </c>
      <c r="W29" s="1">
        <v>95.7</v>
      </c>
      <c r="X29" s="1">
        <v>1.8</v>
      </c>
      <c r="Y29" s="1">
        <f t="shared" si="0"/>
        <v>2499.4</v>
      </c>
      <c r="Z29" s="2">
        <v>2022</v>
      </c>
      <c r="AA29" s="2" t="s">
        <v>65</v>
      </c>
      <c r="AB29" s="2" t="s">
        <v>63</v>
      </c>
    </row>
    <row r="30" spans="1:28" x14ac:dyDescent="0.25">
      <c r="A30" t="s">
        <v>28</v>
      </c>
      <c r="B30" s="1">
        <v>1.6</v>
      </c>
      <c r="C30" s="1">
        <v>1.6</v>
      </c>
      <c r="D30" s="1">
        <v>1.6</v>
      </c>
      <c r="E30" s="1">
        <v>3</v>
      </c>
      <c r="F30" s="1">
        <v>1075.5</v>
      </c>
      <c r="G30" s="1">
        <v>1.8</v>
      </c>
      <c r="H30" s="1">
        <v>1073.7</v>
      </c>
      <c r="I30" s="1">
        <v>579.70000000000005</v>
      </c>
      <c r="J30" s="1">
        <v>228.9</v>
      </c>
      <c r="K30" s="1">
        <v>350.8</v>
      </c>
      <c r="L30" s="1">
        <v>0</v>
      </c>
      <c r="M30" s="1">
        <v>0</v>
      </c>
      <c r="N30" s="1">
        <v>3.3</v>
      </c>
      <c r="O30" s="1">
        <v>0</v>
      </c>
      <c r="P30" s="1">
        <v>4438</v>
      </c>
      <c r="Q30" s="1">
        <v>12952.8</v>
      </c>
      <c r="R30" s="1">
        <v>15.1</v>
      </c>
      <c r="S30" s="1">
        <v>449.29999999999995</v>
      </c>
      <c r="T30" s="1">
        <v>55.199999999999996</v>
      </c>
      <c r="U30" s="1">
        <v>5.3</v>
      </c>
      <c r="V30" s="1">
        <v>118.8</v>
      </c>
      <c r="W30" s="1">
        <v>2756.2</v>
      </c>
      <c r="X30" s="1">
        <v>16.3</v>
      </c>
      <c r="Y30" s="1">
        <f t="shared" si="0"/>
        <v>22470.1</v>
      </c>
      <c r="Z30" s="2">
        <v>2022</v>
      </c>
      <c r="AA30" s="2" t="s">
        <v>65</v>
      </c>
      <c r="AB30" s="2" t="s">
        <v>63</v>
      </c>
    </row>
    <row r="31" spans="1:28" x14ac:dyDescent="0.25">
      <c r="A31" t="s">
        <v>29</v>
      </c>
      <c r="B31" s="1">
        <v>1.6</v>
      </c>
      <c r="C31" s="1">
        <v>1.6</v>
      </c>
      <c r="D31" s="1">
        <v>1.6</v>
      </c>
      <c r="E31" s="1">
        <v>1.5</v>
      </c>
      <c r="F31" s="1">
        <v>20.8</v>
      </c>
      <c r="G31" s="1">
        <v>1.8</v>
      </c>
      <c r="H31" s="1">
        <v>19</v>
      </c>
      <c r="I31" s="1">
        <v>464.00000000000006</v>
      </c>
      <c r="J31" s="1">
        <v>205</v>
      </c>
      <c r="K31" s="1">
        <v>259</v>
      </c>
      <c r="L31" s="1">
        <v>0</v>
      </c>
      <c r="M31" s="1">
        <v>0</v>
      </c>
      <c r="N31" s="1">
        <v>0</v>
      </c>
      <c r="O31" s="1">
        <v>0</v>
      </c>
      <c r="P31" s="1">
        <v>3284.6</v>
      </c>
      <c r="Q31" s="1">
        <v>5731.2</v>
      </c>
      <c r="R31" s="1">
        <v>15.1</v>
      </c>
      <c r="S31" s="1">
        <v>107.6</v>
      </c>
      <c r="T31" s="1">
        <v>0.8</v>
      </c>
      <c r="U31" s="1">
        <v>3.8</v>
      </c>
      <c r="V31" s="1">
        <v>80.099999999999994</v>
      </c>
      <c r="W31" s="1">
        <v>1187.3</v>
      </c>
      <c r="X31" s="1">
        <v>10.5</v>
      </c>
      <c r="Y31" s="1">
        <f t="shared" si="0"/>
        <v>10908.9</v>
      </c>
      <c r="Z31" s="2">
        <v>2022</v>
      </c>
      <c r="AA31" s="2" t="s">
        <v>65</v>
      </c>
      <c r="AB31" s="2" t="s">
        <v>63</v>
      </c>
    </row>
    <row r="32" spans="1:28" x14ac:dyDescent="0.25">
      <c r="A32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145.19999999999999</v>
      </c>
      <c r="G32" s="1">
        <v>0</v>
      </c>
      <c r="H32" s="1">
        <v>145.19999999999999</v>
      </c>
      <c r="I32" s="1">
        <v>66.2</v>
      </c>
      <c r="J32" s="1">
        <v>13.9</v>
      </c>
      <c r="K32" s="1">
        <v>52.3</v>
      </c>
      <c r="L32" s="1">
        <v>0</v>
      </c>
      <c r="M32" s="1">
        <v>0</v>
      </c>
      <c r="N32" s="1">
        <v>0</v>
      </c>
      <c r="O32" s="1">
        <v>0</v>
      </c>
      <c r="P32" s="1">
        <v>321.89999999999998</v>
      </c>
      <c r="Q32" s="1">
        <v>717.4</v>
      </c>
      <c r="R32" s="1">
        <v>0</v>
      </c>
      <c r="S32" s="1">
        <v>0</v>
      </c>
      <c r="T32" s="1">
        <v>0</v>
      </c>
      <c r="U32" s="1">
        <v>0</v>
      </c>
      <c r="V32" s="1">
        <v>0.5</v>
      </c>
      <c r="W32" s="1">
        <v>137.6</v>
      </c>
      <c r="X32" s="1">
        <v>0</v>
      </c>
      <c r="Y32" s="1">
        <f t="shared" si="0"/>
        <v>1388.7999999999997</v>
      </c>
      <c r="Z32" s="2">
        <v>2022</v>
      </c>
      <c r="AA32" s="2" t="s">
        <v>65</v>
      </c>
      <c r="AB32" s="2" t="s">
        <v>63</v>
      </c>
    </row>
    <row r="33" spans="1:28" x14ac:dyDescent="0.25">
      <c r="A33" t="s">
        <v>31</v>
      </c>
      <c r="B33" s="1">
        <v>0</v>
      </c>
      <c r="C33" s="1">
        <v>0</v>
      </c>
      <c r="D33" s="1">
        <v>0</v>
      </c>
      <c r="E33" s="1">
        <v>1.5</v>
      </c>
      <c r="F33" s="1">
        <v>909.5</v>
      </c>
      <c r="G33" s="1">
        <v>0</v>
      </c>
      <c r="H33" s="1">
        <v>909.5</v>
      </c>
      <c r="I33" s="1">
        <v>49.5</v>
      </c>
      <c r="J33" s="1">
        <v>10</v>
      </c>
      <c r="K33" s="1">
        <v>39.5</v>
      </c>
      <c r="L33" s="1">
        <v>0</v>
      </c>
      <c r="M33" s="1">
        <v>0</v>
      </c>
      <c r="N33" s="1">
        <v>3.3</v>
      </c>
      <c r="O33" s="1">
        <v>0</v>
      </c>
      <c r="P33" s="1">
        <v>831.5</v>
      </c>
      <c r="Q33" s="1">
        <v>6504.2</v>
      </c>
      <c r="R33" s="1">
        <v>0</v>
      </c>
      <c r="S33" s="1">
        <v>341.7</v>
      </c>
      <c r="T33" s="1">
        <v>54.4</v>
      </c>
      <c r="U33" s="1">
        <v>1.5</v>
      </c>
      <c r="V33" s="1">
        <v>38.200000000000003</v>
      </c>
      <c r="W33" s="1">
        <v>1431.3</v>
      </c>
      <c r="X33" s="1">
        <v>5.8</v>
      </c>
      <c r="Y33" s="1">
        <f t="shared" si="0"/>
        <v>10172.4</v>
      </c>
      <c r="Z33" s="2">
        <v>2022</v>
      </c>
      <c r="AA33" s="2" t="s">
        <v>65</v>
      </c>
      <c r="AB33" s="2" t="s">
        <v>63</v>
      </c>
    </row>
    <row r="34" spans="1:28" x14ac:dyDescent="0.25">
      <c r="A34" t="s">
        <v>58</v>
      </c>
      <c r="B34" s="1">
        <v>372</v>
      </c>
      <c r="C34" s="1">
        <v>372</v>
      </c>
      <c r="D34" s="1">
        <v>372</v>
      </c>
      <c r="E34" s="1">
        <v>3.7</v>
      </c>
      <c r="F34" s="1">
        <v>321.7</v>
      </c>
      <c r="G34" s="1">
        <v>208.7</v>
      </c>
      <c r="H34" s="1">
        <v>113</v>
      </c>
      <c r="I34" s="1">
        <v>1530.5</v>
      </c>
      <c r="J34" s="1">
        <v>365.9</v>
      </c>
      <c r="K34" s="1">
        <v>18.2</v>
      </c>
      <c r="L34" s="1">
        <v>1146.3999999999999</v>
      </c>
      <c r="M34" s="1">
        <v>96.3</v>
      </c>
      <c r="N34" s="1">
        <v>0</v>
      </c>
      <c r="O34" s="1">
        <v>49.3</v>
      </c>
      <c r="P34" s="1">
        <v>4492.2999999999993</v>
      </c>
      <c r="Q34" s="1">
        <v>6777.2000000000007</v>
      </c>
      <c r="R34" s="1">
        <v>247</v>
      </c>
      <c r="S34" s="1">
        <v>0</v>
      </c>
      <c r="T34" s="1">
        <v>0</v>
      </c>
      <c r="U34" s="1">
        <v>0</v>
      </c>
      <c r="V34" s="1">
        <v>0</v>
      </c>
      <c r="W34" s="1">
        <v>7</v>
      </c>
      <c r="X34" s="1">
        <v>0</v>
      </c>
      <c r="Y34" s="1">
        <f t="shared" si="0"/>
        <v>13897</v>
      </c>
      <c r="Z34" s="2">
        <v>2022</v>
      </c>
      <c r="AA34" s="2" t="s">
        <v>65</v>
      </c>
      <c r="AB34" s="2" t="s">
        <v>63</v>
      </c>
    </row>
    <row r="35" spans="1:28" x14ac:dyDescent="0.25">
      <c r="A35" t="s">
        <v>59</v>
      </c>
      <c r="B35" s="1">
        <v>1270.1999999999998</v>
      </c>
      <c r="C35" s="1">
        <v>1270.1999999999998</v>
      </c>
      <c r="D35" s="1">
        <v>1270.1999999999998</v>
      </c>
      <c r="E35" s="1">
        <v>208.4</v>
      </c>
      <c r="F35" s="1">
        <v>1195.5999999999999</v>
      </c>
      <c r="G35" s="1">
        <v>84</v>
      </c>
      <c r="H35" s="1">
        <v>1111.6000000000001</v>
      </c>
      <c r="I35" s="1">
        <v>1251.0999999999999</v>
      </c>
      <c r="J35" s="1">
        <v>772.3</v>
      </c>
      <c r="K35" s="1">
        <v>367.3</v>
      </c>
      <c r="L35" s="1">
        <v>111.49999999999999</v>
      </c>
      <c r="M35" s="1">
        <v>117.6</v>
      </c>
      <c r="N35" s="1">
        <v>41.699999999999996</v>
      </c>
      <c r="O35" s="1">
        <v>0.8</v>
      </c>
      <c r="P35" s="1">
        <v>17832.7</v>
      </c>
      <c r="Q35" s="1">
        <v>36465.1</v>
      </c>
      <c r="R35" s="1">
        <v>807.3</v>
      </c>
      <c r="S35" s="1">
        <v>498.29999999999995</v>
      </c>
      <c r="T35" s="1">
        <v>55.199999999999996</v>
      </c>
      <c r="U35" s="1">
        <v>5.3</v>
      </c>
      <c r="V35" s="1">
        <v>118.8</v>
      </c>
      <c r="W35" s="1">
        <v>3044.5</v>
      </c>
      <c r="X35" s="1">
        <v>18.100000000000001</v>
      </c>
      <c r="Y35" s="1">
        <f t="shared" si="0"/>
        <v>62930.700000000004</v>
      </c>
      <c r="Z35" s="2">
        <v>2022</v>
      </c>
      <c r="AA35" s="2" t="s">
        <v>65</v>
      </c>
      <c r="AB35" s="2" t="s">
        <v>63</v>
      </c>
    </row>
    <row r="36" spans="1:28" x14ac:dyDescent="0.25">
      <c r="A36" t="s">
        <v>32</v>
      </c>
      <c r="B36" s="1">
        <v>1642.1999999999998</v>
      </c>
      <c r="C36" s="1">
        <v>1642.1999999999998</v>
      </c>
      <c r="D36" s="1">
        <v>1642.1999999999998</v>
      </c>
      <c r="E36" s="1">
        <v>212.10000000000002</v>
      </c>
      <c r="F36" s="1">
        <v>1517.3</v>
      </c>
      <c r="G36" s="1">
        <v>292.7</v>
      </c>
      <c r="H36" s="1">
        <v>1224.6000000000001</v>
      </c>
      <c r="I36" s="1">
        <v>2781.6</v>
      </c>
      <c r="J36" s="1">
        <v>1138.1999999999998</v>
      </c>
      <c r="K36" s="1">
        <v>385.5</v>
      </c>
      <c r="L36" s="1">
        <v>1257.8999999999999</v>
      </c>
      <c r="M36" s="1">
        <v>213.89999999999998</v>
      </c>
      <c r="N36" s="1">
        <v>41.699999999999996</v>
      </c>
      <c r="O36" s="1">
        <v>50.099999999999994</v>
      </c>
      <c r="P36" s="1">
        <v>22325</v>
      </c>
      <c r="Q36" s="1">
        <v>43242.3</v>
      </c>
      <c r="R36" s="1">
        <v>1054.3</v>
      </c>
      <c r="S36" s="1">
        <v>498.29999999999995</v>
      </c>
      <c r="T36" s="1">
        <v>55.199999999999996</v>
      </c>
      <c r="U36" s="1">
        <v>5.3</v>
      </c>
      <c r="V36" s="1">
        <v>118.8</v>
      </c>
      <c r="W36" s="1">
        <v>3051.5</v>
      </c>
      <c r="X36" s="1">
        <v>18.100000000000001</v>
      </c>
      <c r="Y36" s="1">
        <f t="shared" si="0"/>
        <v>76827.700000000012</v>
      </c>
      <c r="Z36" s="2">
        <v>2022</v>
      </c>
      <c r="AA36" s="2" t="s">
        <v>65</v>
      </c>
      <c r="AB36" s="2" t="s">
        <v>63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DAAA7-57A0-4A48-85BB-92E93E4D0781}">
  <dimension ref="A1:AM26"/>
  <sheetViews>
    <sheetView workbookViewId="0">
      <pane xSplit="1" topLeftCell="O1" activePane="topRight" state="frozen"/>
      <selection pane="topRight" activeCell="B2" sqref="B2:AJ25"/>
    </sheetView>
  </sheetViews>
  <sheetFormatPr defaultRowHeight="15" x14ac:dyDescent="0.25"/>
  <cols>
    <col min="1" max="1" width="18.140625" bestFit="1" customWidth="1"/>
    <col min="2" max="2" width="12.7109375" bestFit="1" customWidth="1"/>
    <col min="3" max="3" width="15.7109375" bestFit="1" customWidth="1"/>
    <col min="4" max="4" width="11.140625" bestFit="1" customWidth="1"/>
    <col min="10" max="10" width="12.42578125" customWidth="1"/>
    <col min="20" max="20" width="16.42578125" customWidth="1"/>
    <col min="21" max="21" width="9.5703125" bestFit="1" customWidth="1"/>
    <col min="25" max="25" width="10.85546875" customWidth="1"/>
    <col min="30" max="31" width="9.5703125" bestFit="1" customWidth="1"/>
    <col min="33" max="33" width="9.5703125" bestFit="1" customWidth="1"/>
    <col min="34" max="34" width="19.140625" customWidth="1"/>
    <col min="35" max="35" width="14.28515625" customWidth="1"/>
    <col min="36" max="36" width="9.5703125" bestFit="1" customWidth="1"/>
    <col min="38" max="38" width="11.5703125" bestFit="1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58</v>
      </c>
      <c r="AI1" t="s">
        <v>59</v>
      </c>
      <c r="AJ1" t="s">
        <v>32</v>
      </c>
      <c r="AK1" t="s">
        <v>60</v>
      </c>
      <c r="AL1" t="s">
        <v>61</v>
      </c>
      <c r="AM1" t="s">
        <v>62</v>
      </c>
    </row>
    <row r="2" spans="1:39" x14ac:dyDescent="0.25">
      <c r="A2" t="s">
        <v>35</v>
      </c>
      <c r="B2" s="1">
        <v>3957.2</v>
      </c>
      <c r="C2" s="1">
        <v>0</v>
      </c>
      <c r="D2" s="1">
        <v>3900</v>
      </c>
      <c r="E2" s="1">
        <v>0</v>
      </c>
      <c r="F2" s="1">
        <v>0</v>
      </c>
      <c r="G2" s="1">
        <v>0</v>
      </c>
      <c r="H2" s="1">
        <v>0</v>
      </c>
      <c r="I2" s="1">
        <v>4043</v>
      </c>
      <c r="J2" s="1">
        <v>4644.7852161785213</v>
      </c>
      <c r="K2" s="1">
        <v>4397</v>
      </c>
      <c r="L2" s="1">
        <v>3905</v>
      </c>
      <c r="M2" s="1">
        <v>1413</v>
      </c>
      <c r="N2" s="1">
        <v>3872</v>
      </c>
      <c r="O2" s="1">
        <v>1059</v>
      </c>
      <c r="P2" s="1">
        <v>0</v>
      </c>
      <c r="Q2" s="1">
        <v>2626</v>
      </c>
      <c r="R2" s="1">
        <v>0</v>
      </c>
      <c r="S2" s="1">
        <v>4753</v>
      </c>
      <c r="T2" s="1">
        <v>4356.9871262120105</v>
      </c>
      <c r="U2" s="1">
        <v>4341</v>
      </c>
      <c r="V2" s="1">
        <v>4834</v>
      </c>
      <c r="W2" s="1">
        <v>4532</v>
      </c>
      <c r="X2" s="1">
        <v>0</v>
      </c>
      <c r="Y2" s="1">
        <v>3936.6779661016949</v>
      </c>
      <c r="Z2" s="1">
        <v>3975</v>
      </c>
      <c r="AA2" s="1">
        <v>0</v>
      </c>
      <c r="AB2" s="1">
        <v>0</v>
      </c>
      <c r="AC2" s="1">
        <v>3842</v>
      </c>
      <c r="AD2" s="1">
        <v>3075</v>
      </c>
      <c r="AE2" s="1">
        <v>3075</v>
      </c>
      <c r="AF2" s="1">
        <v>0</v>
      </c>
      <c r="AG2" s="1">
        <v>0</v>
      </c>
      <c r="AH2" s="1">
        <v>4619.8325268817207</v>
      </c>
      <c r="AI2" s="1">
        <v>4341.7061092741314</v>
      </c>
      <c r="AJ2" s="1">
        <v>4404.7088052612362</v>
      </c>
      <c r="AK2" s="2">
        <v>2022</v>
      </c>
      <c r="AL2" s="2" t="s">
        <v>65</v>
      </c>
      <c r="AM2" s="2" t="s">
        <v>63</v>
      </c>
    </row>
    <row r="3" spans="1:39" x14ac:dyDescent="0.25">
      <c r="A3" t="s">
        <v>36</v>
      </c>
      <c r="B3" s="1">
        <v>1536.0800000000002</v>
      </c>
      <c r="C3" s="1">
        <v>0</v>
      </c>
      <c r="D3" s="1">
        <v>1482.0000000000002</v>
      </c>
      <c r="E3" s="1">
        <v>0</v>
      </c>
      <c r="F3" s="1">
        <v>0</v>
      </c>
      <c r="G3" s="1">
        <v>0</v>
      </c>
      <c r="H3" s="1">
        <v>0</v>
      </c>
      <c r="I3" s="1">
        <v>1617.1999999999998</v>
      </c>
      <c r="J3" s="1">
        <v>1903.3238298465831</v>
      </c>
      <c r="K3" s="1">
        <v>1802.77</v>
      </c>
      <c r="L3" s="1">
        <v>1601.05</v>
      </c>
      <c r="M3" s="1">
        <v>494.55</v>
      </c>
      <c r="N3" s="1">
        <v>1471.36</v>
      </c>
      <c r="O3" s="1">
        <v>381.23999999999995</v>
      </c>
      <c r="P3" s="1">
        <v>0</v>
      </c>
      <c r="Q3" s="1">
        <v>919</v>
      </c>
      <c r="R3" s="1">
        <v>0</v>
      </c>
      <c r="S3" s="1">
        <v>1949</v>
      </c>
      <c r="T3" s="1">
        <v>1798.2501641815368</v>
      </c>
      <c r="U3" s="1">
        <v>1792.8330000000001</v>
      </c>
      <c r="V3" s="1">
        <v>2001.2760000000003</v>
      </c>
      <c r="W3" s="1">
        <v>1812.7999999999997</v>
      </c>
      <c r="X3" s="1">
        <v>0</v>
      </c>
      <c r="Y3" s="1">
        <v>1643.803186440678</v>
      </c>
      <c r="Z3" s="1">
        <v>1621.8</v>
      </c>
      <c r="AA3" s="1">
        <v>0</v>
      </c>
      <c r="AB3" s="1">
        <v>0</v>
      </c>
      <c r="AC3" s="1">
        <v>1698.164</v>
      </c>
      <c r="AD3" s="1">
        <v>1260.75</v>
      </c>
      <c r="AE3" s="1">
        <v>1260.75</v>
      </c>
      <c r="AF3" s="1">
        <v>0</v>
      </c>
      <c r="AG3" s="1">
        <v>0</v>
      </c>
      <c r="AH3" s="1">
        <v>1889.9964327956989</v>
      </c>
      <c r="AI3" s="1">
        <v>1792.551329003307</v>
      </c>
      <c r="AJ3" s="1">
        <v>1814.6251194129829</v>
      </c>
      <c r="AK3" s="2">
        <v>2022</v>
      </c>
      <c r="AL3" s="2" t="s">
        <v>65</v>
      </c>
      <c r="AM3" s="2" t="s">
        <v>63</v>
      </c>
    </row>
    <row r="4" spans="1:39" x14ac:dyDescent="0.25">
      <c r="A4" t="s">
        <v>37</v>
      </c>
      <c r="B4" s="1">
        <v>2421.1200000000003</v>
      </c>
      <c r="C4" s="1">
        <v>0</v>
      </c>
      <c r="D4" s="1">
        <v>2418</v>
      </c>
      <c r="E4" s="1">
        <v>0</v>
      </c>
      <c r="F4" s="1">
        <v>0</v>
      </c>
      <c r="G4" s="1">
        <v>0</v>
      </c>
      <c r="H4" s="1">
        <v>0</v>
      </c>
      <c r="I4" s="1">
        <v>2425.8000000000002</v>
      </c>
      <c r="J4" s="1">
        <v>2741.4613863319387</v>
      </c>
      <c r="K4" s="1">
        <v>2594.2300000000005</v>
      </c>
      <c r="L4" s="1">
        <v>2303.9499999999994</v>
      </c>
      <c r="M4" s="1">
        <v>918.44999999999982</v>
      </c>
      <c r="N4" s="1">
        <v>2400.6400000000003</v>
      </c>
      <c r="O4" s="1">
        <v>677.76</v>
      </c>
      <c r="P4" s="1">
        <v>0</v>
      </c>
      <c r="Q4" s="1">
        <v>1707</v>
      </c>
      <c r="R4" s="1">
        <v>0</v>
      </c>
      <c r="S4" s="1">
        <v>2804.27</v>
      </c>
      <c r="T4" s="1">
        <v>2558.7369620304735</v>
      </c>
      <c r="U4" s="1">
        <v>2548.1669999999999</v>
      </c>
      <c r="V4" s="1">
        <v>2832.7240000000002</v>
      </c>
      <c r="W4" s="1">
        <v>2719.2000000000003</v>
      </c>
      <c r="X4" s="1">
        <v>0</v>
      </c>
      <c r="Y4" s="1">
        <v>2292.8747796610173</v>
      </c>
      <c r="Z4" s="1">
        <v>2353.2000000000003</v>
      </c>
      <c r="AA4" s="1">
        <v>0</v>
      </c>
      <c r="AB4" s="1">
        <v>0</v>
      </c>
      <c r="AC4" s="1">
        <v>2143.8360000000002</v>
      </c>
      <c r="AD4" s="1">
        <v>1814.25</v>
      </c>
      <c r="AE4" s="1">
        <v>1814.25</v>
      </c>
      <c r="AF4" s="1">
        <v>0</v>
      </c>
      <c r="AG4" s="1">
        <v>0</v>
      </c>
      <c r="AH4" s="1">
        <v>2729.8360940860216</v>
      </c>
      <c r="AI4" s="1">
        <v>2549.1547802708237</v>
      </c>
      <c r="AJ4" s="1">
        <v>2590.083685848253</v>
      </c>
      <c r="AK4" s="2">
        <v>2022</v>
      </c>
      <c r="AL4" s="2" t="s">
        <v>65</v>
      </c>
      <c r="AM4" s="2" t="s">
        <v>63</v>
      </c>
    </row>
    <row r="5" spans="1:39" x14ac:dyDescent="0.25">
      <c r="A5" t="s">
        <v>33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1023.0540540540541</v>
      </c>
      <c r="K5" s="1">
        <v>0</v>
      </c>
      <c r="L5" s="1">
        <v>0</v>
      </c>
      <c r="M5" s="1">
        <v>1158</v>
      </c>
      <c r="N5" s="1">
        <v>0</v>
      </c>
      <c r="O5" s="1">
        <v>779</v>
      </c>
      <c r="P5" s="1">
        <v>0</v>
      </c>
      <c r="Q5" s="1">
        <v>0</v>
      </c>
      <c r="R5" s="1">
        <v>0</v>
      </c>
      <c r="S5" s="1">
        <v>1068</v>
      </c>
      <c r="T5" s="1">
        <v>3897</v>
      </c>
      <c r="U5" s="1">
        <v>0</v>
      </c>
      <c r="V5" s="1">
        <v>3897</v>
      </c>
      <c r="W5" s="1">
        <v>0</v>
      </c>
      <c r="X5" s="1">
        <v>0</v>
      </c>
      <c r="Y5" s="1">
        <v>3841.9909864797191</v>
      </c>
      <c r="Z5" s="1">
        <v>3640</v>
      </c>
      <c r="AA5" s="1">
        <v>0</v>
      </c>
      <c r="AB5" s="1">
        <v>0</v>
      </c>
      <c r="AC5" s="1">
        <v>3848.1403508771928</v>
      </c>
      <c r="AD5" s="1">
        <v>2983.5</v>
      </c>
      <c r="AE5" s="1">
        <v>2667</v>
      </c>
      <c r="AF5" s="1">
        <v>0</v>
      </c>
      <c r="AG5" s="1">
        <v>3300</v>
      </c>
      <c r="AH5" s="1">
        <v>1023.0540540540541</v>
      </c>
      <c r="AI5" s="1">
        <v>3831.137236084453</v>
      </c>
      <c r="AJ5" s="1">
        <v>3782.1513437057988</v>
      </c>
      <c r="AK5" s="2">
        <v>2022</v>
      </c>
      <c r="AL5" s="2" t="s">
        <v>65</v>
      </c>
      <c r="AM5" s="2" t="s">
        <v>63</v>
      </c>
    </row>
    <row r="6" spans="1:39" x14ac:dyDescent="0.25">
      <c r="A6" t="s">
        <v>38</v>
      </c>
      <c r="B6" s="1">
        <v>4644.6793750000006</v>
      </c>
      <c r="C6" s="1">
        <v>7592</v>
      </c>
      <c r="D6" s="1">
        <v>3316</v>
      </c>
      <c r="E6" s="1">
        <v>1309</v>
      </c>
      <c r="F6" s="1">
        <v>2689</v>
      </c>
      <c r="G6" s="1">
        <v>994</v>
      </c>
      <c r="H6" s="1">
        <v>2955.5176470588235</v>
      </c>
      <c r="I6" s="1">
        <v>5565.5738705738713</v>
      </c>
      <c r="J6" s="1">
        <v>2182.8416821273968</v>
      </c>
      <c r="K6" s="1">
        <v>1830.466403162055</v>
      </c>
      <c r="L6" s="1">
        <v>1877.5859030837003</v>
      </c>
      <c r="M6" s="1">
        <v>3517.4399999999996</v>
      </c>
      <c r="N6" s="1">
        <v>3721</v>
      </c>
      <c r="O6" s="1">
        <v>1219</v>
      </c>
      <c r="P6" s="1">
        <v>7325</v>
      </c>
      <c r="Q6" s="1">
        <v>6761</v>
      </c>
      <c r="R6" s="1">
        <v>7571.0000000000009</v>
      </c>
      <c r="S6" s="1">
        <v>0</v>
      </c>
      <c r="T6" s="1">
        <v>4040.666666666667</v>
      </c>
      <c r="U6" s="1">
        <v>3586.8663484486869</v>
      </c>
      <c r="V6" s="1">
        <v>6483.9999999999991</v>
      </c>
      <c r="W6" s="1">
        <v>5234.4785276073617</v>
      </c>
      <c r="X6" s="1">
        <v>0</v>
      </c>
      <c r="Y6" s="1">
        <v>4196.6209677419356</v>
      </c>
      <c r="Z6" s="1">
        <v>3498.5384615384614</v>
      </c>
      <c r="AA6" s="1">
        <v>3796</v>
      </c>
      <c r="AB6" s="1">
        <v>3061</v>
      </c>
      <c r="AC6" s="1">
        <v>4430.2127659574471</v>
      </c>
      <c r="AD6" s="1">
        <v>8420.2555090655515</v>
      </c>
      <c r="AE6" s="1">
        <v>7375.2692307692305</v>
      </c>
      <c r="AF6" s="1">
        <v>8321</v>
      </c>
      <c r="AG6" s="1">
        <v>8460</v>
      </c>
      <c r="AH6" s="1">
        <v>3407.2558284115644</v>
      </c>
      <c r="AI6" s="1">
        <v>7981.9360153897642</v>
      </c>
      <c r="AJ6" s="1">
        <v>7012.0061293086419</v>
      </c>
      <c r="AK6" s="2">
        <v>2022</v>
      </c>
      <c r="AL6" s="2" t="s">
        <v>65</v>
      </c>
      <c r="AM6" s="2" t="s">
        <v>63</v>
      </c>
    </row>
    <row r="7" spans="1:39" x14ac:dyDescent="0.25">
      <c r="A7" t="s">
        <v>34</v>
      </c>
      <c r="B7" s="1">
        <v>2731.9665653495445</v>
      </c>
      <c r="C7" s="1">
        <v>0</v>
      </c>
      <c r="D7" s="1">
        <v>3316</v>
      </c>
      <c r="E7" s="1">
        <v>1309</v>
      </c>
      <c r="F7" s="1">
        <v>2689</v>
      </c>
      <c r="G7" s="1">
        <v>994</v>
      </c>
      <c r="H7" s="1">
        <v>2524</v>
      </c>
      <c r="I7" s="1">
        <v>2266</v>
      </c>
      <c r="J7" s="1">
        <v>1662.9538138558432</v>
      </c>
      <c r="K7" s="1">
        <v>1721</v>
      </c>
      <c r="L7" s="1">
        <v>1561</v>
      </c>
      <c r="M7" s="1">
        <v>1260</v>
      </c>
      <c r="N7" s="1">
        <v>0</v>
      </c>
      <c r="O7" s="1">
        <v>1219</v>
      </c>
      <c r="P7" s="1">
        <v>0</v>
      </c>
      <c r="Q7" s="1">
        <v>0</v>
      </c>
      <c r="R7" s="1">
        <v>0</v>
      </c>
      <c r="S7" s="1">
        <v>0</v>
      </c>
      <c r="T7" s="1">
        <v>3612.7153652392949</v>
      </c>
      <c r="U7" s="1">
        <v>3644</v>
      </c>
      <c r="V7" s="1">
        <v>0</v>
      </c>
      <c r="W7" s="1">
        <v>2816</v>
      </c>
      <c r="X7" s="1">
        <v>0</v>
      </c>
      <c r="Y7" s="1">
        <v>2658.2500000000005</v>
      </c>
      <c r="Z7" s="1">
        <v>1482</v>
      </c>
      <c r="AA7" s="1">
        <v>3796</v>
      </c>
      <c r="AB7" s="1">
        <v>3061</v>
      </c>
      <c r="AC7" s="1">
        <v>3639</v>
      </c>
      <c r="AD7" s="1">
        <v>1657</v>
      </c>
      <c r="AE7" s="1">
        <v>1657</v>
      </c>
      <c r="AF7" s="1">
        <v>0</v>
      </c>
      <c r="AG7" s="1">
        <v>0</v>
      </c>
      <c r="AH7" s="1">
        <v>1999.997604216579</v>
      </c>
      <c r="AI7" s="1">
        <v>3538.9916666666663</v>
      </c>
      <c r="AJ7" s="1">
        <v>2441.6631363170486</v>
      </c>
      <c r="AK7" s="2">
        <v>2022</v>
      </c>
      <c r="AL7" s="2" t="s">
        <v>65</v>
      </c>
      <c r="AM7" s="2" t="s">
        <v>63</v>
      </c>
    </row>
    <row r="8" spans="1:39" x14ac:dyDescent="0.25">
      <c r="A8" t="s">
        <v>39</v>
      </c>
      <c r="B8" s="1">
        <v>5980.7356687898091</v>
      </c>
      <c r="C8" s="1">
        <v>7592</v>
      </c>
      <c r="D8" s="1">
        <v>0</v>
      </c>
      <c r="E8" s="1">
        <v>0</v>
      </c>
      <c r="F8" s="1">
        <v>0</v>
      </c>
      <c r="G8" s="1">
        <v>0</v>
      </c>
      <c r="H8" s="1">
        <v>5936</v>
      </c>
      <c r="I8" s="1">
        <v>5735</v>
      </c>
      <c r="J8" s="1">
        <v>6134.5425531914889</v>
      </c>
      <c r="K8" s="1">
        <v>5541</v>
      </c>
      <c r="L8" s="1">
        <v>4755</v>
      </c>
      <c r="M8" s="1">
        <v>5963</v>
      </c>
      <c r="N8" s="1">
        <v>3721</v>
      </c>
      <c r="O8" s="1">
        <v>0</v>
      </c>
      <c r="P8" s="1">
        <v>7325</v>
      </c>
      <c r="Q8" s="1">
        <v>6761</v>
      </c>
      <c r="R8" s="1">
        <v>7571</v>
      </c>
      <c r="S8" s="1">
        <v>0</v>
      </c>
      <c r="T8" s="1">
        <v>5241.349823321555</v>
      </c>
      <c r="U8" s="1">
        <v>2997</v>
      </c>
      <c r="V8" s="1">
        <v>6484</v>
      </c>
      <c r="W8" s="1">
        <v>5780</v>
      </c>
      <c r="X8" s="1">
        <v>0</v>
      </c>
      <c r="Y8" s="1">
        <v>4645.3125</v>
      </c>
      <c r="Z8" s="1">
        <v>5227</v>
      </c>
      <c r="AA8" s="1">
        <v>0</v>
      </c>
      <c r="AB8" s="1">
        <v>0</v>
      </c>
      <c r="AC8" s="1">
        <v>4546</v>
      </c>
      <c r="AD8" s="1">
        <v>8431.5937412685089</v>
      </c>
      <c r="AE8" s="1">
        <v>7917</v>
      </c>
      <c r="AF8" s="1">
        <v>8321</v>
      </c>
      <c r="AG8" s="1">
        <v>8460</v>
      </c>
      <c r="AH8" s="1">
        <v>6006.3247787610626</v>
      </c>
      <c r="AI8" s="1">
        <v>8317.6748830514553</v>
      </c>
      <c r="AJ8" s="1">
        <v>8104.3949861179144</v>
      </c>
      <c r="AK8" s="2">
        <v>2022</v>
      </c>
      <c r="AL8" s="2" t="s">
        <v>65</v>
      </c>
      <c r="AM8" s="2" t="s">
        <v>63</v>
      </c>
    </row>
    <row r="9" spans="1:39" x14ac:dyDescent="0.25">
      <c r="A9" t="s">
        <v>40</v>
      </c>
      <c r="B9" s="1">
        <v>982.31709558823525</v>
      </c>
      <c r="C9" s="1">
        <v>1195</v>
      </c>
      <c r="D9" s="1">
        <v>1091</v>
      </c>
      <c r="E9" s="1">
        <v>585</v>
      </c>
      <c r="F9" s="1">
        <v>905.00000000000011</v>
      </c>
      <c r="G9" s="1">
        <v>953</v>
      </c>
      <c r="H9" s="1">
        <v>763.57347670250897</v>
      </c>
      <c r="I9" s="1">
        <v>1095.5849624060149</v>
      </c>
      <c r="J9" s="1">
        <v>467.62987972146016</v>
      </c>
      <c r="K9" s="1">
        <v>576.39087301587301</v>
      </c>
      <c r="L9" s="1">
        <v>346.89762150982421</v>
      </c>
      <c r="M9" s="1">
        <v>316.29752066115702</v>
      </c>
      <c r="N9" s="1">
        <v>410</v>
      </c>
      <c r="O9" s="1">
        <v>377.76294820717129</v>
      </c>
      <c r="P9" s="1">
        <v>421.68105726872244</v>
      </c>
      <c r="Q9" s="1">
        <v>341.43790849673206</v>
      </c>
      <c r="R9" s="1">
        <v>725</v>
      </c>
      <c r="S9" s="1">
        <v>709.38731177487034</v>
      </c>
      <c r="T9" s="1">
        <v>2041.6069915254238</v>
      </c>
      <c r="U9" s="1">
        <v>1664.5537190082644</v>
      </c>
      <c r="V9" s="1">
        <v>1581.6265060240962</v>
      </c>
      <c r="W9" s="1">
        <v>2557.5657640232107</v>
      </c>
      <c r="X9" s="1">
        <v>2730.211267605634</v>
      </c>
      <c r="Y9" s="1">
        <v>1671.1370427614636</v>
      </c>
      <c r="Z9" s="1">
        <v>1535.0202349869455</v>
      </c>
      <c r="AA9" s="1">
        <v>1020.5684210526317</v>
      </c>
      <c r="AB9" s="1">
        <v>1214.5555555555554</v>
      </c>
      <c r="AC9" s="1">
        <v>2347.5728291316523</v>
      </c>
      <c r="AD9" s="1">
        <v>1554.7360703812315</v>
      </c>
      <c r="AE9" s="1">
        <v>1554.5609913793103</v>
      </c>
      <c r="AF9" s="1">
        <v>1665.8791540785498</v>
      </c>
      <c r="AG9" s="1">
        <v>1407.7373737373737</v>
      </c>
      <c r="AH9" s="1">
        <v>504.21790264619398</v>
      </c>
      <c r="AI9" s="1">
        <v>1701.0622652066183</v>
      </c>
      <c r="AJ9" s="1">
        <v>1042.5310972102388</v>
      </c>
      <c r="AK9" s="2">
        <v>2022</v>
      </c>
      <c r="AL9" s="2" t="s">
        <v>65</v>
      </c>
      <c r="AM9" s="2" t="s">
        <v>63</v>
      </c>
    </row>
    <row r="10" spans="1:39" x14ac:dyDescent="0.25">
      <c r="A10" t="s">
        <v>41</v>
      </c>
      <c r="B10" s="1">
        <v>907.86206896551732</v>
      </c>
      <c r="C10" s="1">
        <v>0</v>
      </c>
      <c r="D10" s="1">
        <v>1091</v>
      </c>
      <c r="E10" s="1">
        <v>0</v>
      </c>
      <c r="F10" s="1">
        <v>0</v>
      </c>
      <c r="G10" s="1">
        <v>953</v>
      </c>
      <c r="H10" s="1">
        <v>635</v>
      </c>
      <c r="I10" s="1">
        <v>2868</v>
      </c>
      <c r="J10" s="1">
        <v>690.39893617021278</v>
      </c>
      <c r="K10" s="1">
        <v>0</v>
      </c>
      <c r="L10" s="1">
        <v>0</v>
      </c>
      <c r="M10" s="1">
        <v>624</v>
      </c>
      <c r="N10" s="1">
        <v>0</v>
      </c>
      <c r="O10" s="1">
        <v>491</v>
      </c>
      <c r="P10" s="1">
        <v>569.44378698224853</v>
      </c>
      <c r="Q10" s="1">
        <v>323</v>
      </c>
      <c r="R10" s="1">
        <v>725</v>
      </c>
      <c r="S10" s="1">
        <v>803.97856477166818</v>
      </c>
      <c r="T10" s="1">
        <v>2561.1266774020401</v>
      </c>
      <c r="U10" s="1">
        <v>2348.3794002607565</v>
      </c>
      <c r="V10" s="1">
        <v>1581.6265060240962</v>
      </c>
      <c r="W10" s="1">
        <v>2804.8902714932124</v>
      </c>
      <c r="X10" s="1">
        <v>2785.8449612403101</v>
      </c>
      <c r="Y10" s="1">
        <v>1760.2637916549986</v>
      </c>
      <c r="Z10" s="1">
        <v>1633.881607530775</v>
      </c>
      <c r="AA10" s="1">
        <v>1020.5684210526317</v>
      </c>
      <c r="AB10" s="1">
        <v>0</v>
      </c>
      <c r="AC10" s="1">
        <v>2347.5728291316523</v>
      </c>
      <c r="AD10" s="1">
        <v>1576.7911751856705</v>
      </c>
      <c r="AE10" s="1">
        <v>1530.5619512195121</v>
      </c>
      <c r="AF10" s="1">
        <v>1817.4316546762589</v>
      </c>
      <c r="AG10" s="1">
        <v>2190</v>
      </c>
      <c r="AH10" s="1">
        <v>695.56955452309376</v>
      </c>
      <c r="AI10" s="1">
        <v>1899.074970866244</v>
      </c>
      <c r="AJ10" s="1">
        <v>1512.1810753821826</v>
      </c>
      <c r="AK10" s="2">
        <v>2022</v>
      </c>
      <c r="AL10" s="2" t="s">
        <v>65</v>
      </c>
      <c r="AM10" s="2" t="s">
        <v>63</v>
      </c>
    </row>
    <row r="11" spans="1:39" x14ac:dyDescent="0.25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482.5384615384616</v>
      </c>
      <c r="K11" s="1">
        <v>0</v>
      </c>
      <c r="L11" s="1">
        <v>0</v>
      </c>
      <c r="M11" s="1">
        <v>0</v>
      </c>
      <c r="N11" s="1">
        <v>0</v>
      </c>
      <c r="O11" s="1">
        <v>495</v>
      </c>
      <c r="P11" s="1">
        <v>481</v>
      </c>
      <c r="Q11" s="1">
        <v>0</v>
      </c>
      <c r="R11" s="1">
        <v>0</v>
      </c>
      <c r="S11" s="1">
        <v>0</v>
      </c>
      <c r="T11" s="1">
        <v>2246.75</v>
      </c>
      <c r="U11" s="1">
        <v>0</v>
      </c>
      <c r="V11" s="1">
        <v>0</v>
      </c>
      <c r="W11" s="1">
        <v>0</v>
      </c>
      <c r="X11" s="1">
        <v>2246.75</v>
      </c>
      <c r="Y11" s="1">
        <v>835.9281045751635</v>
      </c>
      <c r="Z11" s="1">
        <v>812.26388888888903</v>
      </c>
      <c r="AA11" s="1">
        <v>0</v>
      </c>
      <c r="AB11" s="1">
        <v>1214.5555555555554</v>
      </c>
      <c r="AC11" s="1">
        <v>0</v>
      </c>
      <c r="AD11" s="1">
        <v>1540.3449258836943</v>
      </c>
      <c r="AE11" s="1">
        <v>1573.5563706563707</v>
      </c>
      <c r="AF11" s="1">
        <v>1625.6003824091779</v>
      </c>
      <c r="AG11" s="1">
        <v>1209.6962025316457</v>
      </c>
      <c r="AH11" s="1">
        <v>482.5384615384616</v>
      </c>
      <c r="AI11" s="1">
        <v>1513.310100735094</v>
      </c>
      <c r="AJ11" s="1">
        <v>1464.6459143968871</v>
      </c>
      <c r="AK11" s="2">
        <v>2022</v>
      </c>
      <c r="AL11" s="2" t="s">
        <v>65</v>
      </c>
      <c r="AM11" s="2" t="s">
        <v>63</v>
      </c>
    </row>
    <row r="12" spans="1:39" x14ac:dyDescent="0.25">
      <c r="A12" t="s">
        <v>43</v>
      </c>
      <c r="B12" s="1">
        <v>988.7882117882117</v>
      </c>
      <c r="C12" s="1">
        <v>1195</v>
      </c>
      <c r="D12" s="1">
        <v>0</v>
      </c>
      <c r="E12" s="1">
        <v>585</v>
      </c>
      <c r="F12" s="1">
        <v>905.00000000000011</v>
      </c>
      <c r="G12" s="1">
        <v>0</v>
      </c>
      <c r="H12" s="1">
        <v>787</v>
      </c>
      <c r="I12" s="1">
        <v>1087.5528700906343</v>
      </c>
      <c r="J12" s="1">
        <v>391.31864665965787</v>
      </c>
      <c r="K12" s="1">
        <v>576.39087301587301</v>
      </c>
      <c r="L12" s="1">
        <v>346.89762150982421</v>
      </c>
      <c r="M12" s="1">
        <v>312</v>
      </c>
      <c r="N12" s="1">
        <v>410</v>
      </c>
      <c r="O12" s="1">
        <v>336</v>
      </c>
      <c r="P12" s="1">
        <v>315.21298495645283</v>
      </c>
      <c r="Q12" s="1">
        <v>414</v>
      </c>
      <c r="R12" s="1">
        <v>0</v>
      </c>
      <c r="S12" s="1">
        <v>602.82939632545936</v>
      </c>
      <c r="T12" s="1">
        <v>1027.6812957157786</v>
      </c>
      <c r="U12" s="1">
        <v>1013.8163771712159</v>
      </c>
      <c r="V12" s="1">
        <v>0</v>
      </c>
      <c r="W12" s="1">
        <v>1100</v>
      </c>
      <c r="X12" s="1">
        <v>1355</v>
      </c>
      <c r="Y12" s="1">
        <v>465.53797468354429</v>
      </c>
      <c r="Z12" s="1">
        <v>465.53797468354429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443.48778785764137</v>
      </c>
      <c r="AI12" s="1">
        <v>948.02331838565021</v>
      </c>
      <c r="AJ12" s="1">
        <v>488.20971460370464</v>
      </c>
      <c r="AK12" s="2">
        <v>2022</v>
      </c>
      <c r="AL12" s="2" t="s">
        <v>65</v>
      </c>
      <c r="AM12" s="2" t="s">
        <v>63</v>
      </c>
    </row>
    <row r="13" spans="1:39" x14ac:dyDescent="0.25">
      <c r="A13" t="s">
        <v>44</v>
      </c>
      <c r="B13" s="1">
        <v>529.9761163032191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480</v>
      </c>
      <c r="I13" s="1">
        <v>629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509.74489795918367</v>
      </c>
      <c r="U13" s="1">
        <v>510</v>
      </c>
      <c r="V13" s="1">
        <v>0</v>
      </c>
      <c r="W13" s="1">
        <v>500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529.9761163032191</v>
      </c>
      <c r="AI13" s="1">
        <v>509.74489795918367</v>
      </c>
      <c r="AJ13" s="1">
        <v>518.85320243104263</v>
      </c>
      <c r="AK13" s="2">
        <v>2022</v>
      </c>
      <c r="AL13" s="2" t="s">
        <v>65</v>
      </c>
      <c r="AM13" s="2" t="s">
        <v>63</v>
      </c>
    </row>
    <row r="14" spans="1:39" x14ac:dyDescent="0.25">
      <c r="A14" t="s">
        <v>45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1429.7150684931507</v>
      </c>
      <c r="U14" s="1">
        <v>1359</v>
      </c>
      <c r="V14" s="1">
        <v>0</v>
      </c>
      <c r="W14" s="1">
        <v>1438</v>
      </c>
      <c r="X14" s="1">
        <v>2112</v>
      </c>
      <c r="Y14" s="1">
        <v>1590.9999999999998</v>
      </c>
      <c r="Z14" s="1">
        <v>1591</v>
      </c>
      <c r="AA14" s="1">
        <v>0</v>
      </c>
      <c r="AB14" s="1">
        <v>0</v>
      </c>
      <c r="AC14" s="1">
        <v>0</v>
      </c>
      <c r="AD14" s="1">
        <v>1570</v>
      </c>
      <c r="AE14" s="1">
        <v>0</v>
      </c>
      <c r="AF14" s="1">
        <v>0</v>
      </c>
      <c r="AG14" s="1">
        <v>1570</v>
      </c>
      <c r="AH14" s="1">
        <v>0</v>
      </c>
      <c r="AI14" s="1">
        <v>1448.1654676258995</v>
      </c>
      <c r="AJ14" s="1">
        <v>1448.1654676258995</v>
      </c>
      <c r="AK14" s="2">
        <v>2022</v>
      </c>
      <c r="AL14" s="2" t="s">
        <v>65</v>
      </c>
      <c r="AM14" s="2" t="s">
        <v>63</v>
      </c>
    </row>
    <row r="15" spans="1:39" x14ac:dyDescent="0.25">
      <c r="A15" t="s">
        <v>46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767.61460446247452</v>
      </c>
      <c r="K15" s="1">
        <v>0</v>
      </c>
      <c r="L15" s="1">
        <v>0</v>
      </c>
      <c r="M15" s="1">
        <v>242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773</v>
      </c>
      <c r="T15" s="1">
        <v>924</v>
      </c>
      <c r="U15" s="1">
        <v>924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767.61460446247452</v>
      </c>
      <c r="AI15" s="1">
        <v>924</v>
      </c>
      <c r="AJ15" s="1">
        <v>770.11177644710574</v>
      </c>
      <c r="AK15" s="2">
        <v>2022</v>
      </c>
      <c r="AL15" s="2" t="s">
        <v>65</v>
      </c>
      <c r="AM15" s="2" t="s">
        <v>63</v>
      </c>
    </row>
    <row r="16" spans="1:39" x14ac:dyDescent="0.25">
      <c r="A16" t="s">
        <v>47</v>
      </c>
      <c r="B16" s="1">
        <v>4298.7683881064158</v>
      </c>
      <c r="C16" s="1">
        <v>6000</v>
      </c>
      <c r="D16" s="1">
        <v>5172.3742138364778</v>
      </c>
      <c r="E16" s="1">
        <v>3112.338677354709</v>
      </c>
      <c r="F16" s="1">
        <v>2539</v>
      </c>
      <c r="G16" s="1">
        <v>940</v>
      </c>
      <c r="H16" s="1">
        <v>3190.1987709761288</v>
      </c>
      <c r="I16" s="1">
        <v>4905.3638454461816</v>
      </c>
      <c r="J16" s="1">
        <v>3348.7589835885547</v>
      </c>
      <c r="K16" s="1">
        <v>5044.8894001643384</v>
      </c>
      <c r="L16" s="1">
        <v>4672.1045926919205</v>
      </c>
      <c r="M16" s="1">
        <v>943</v>
      </c>
      <c r="N16" s="1">
        <v>555</v>
      </c>
      <c r="O16" s="1">
        <v>622</v>
      </c>
      <c r="P16" s="1">
        <v>632.21276595744678</v>
      </c>
      <c r="Q16" s="1">
        <v>2088</v>
      </c>
      <c r="R16" s="1">
        <v>5209</v>
      </c>
      <c r="S16" s="1">
        <v>3841.3497018589969</v>
      </c>
      <c r="T16" s="1">
        <v>6216.6489118240961</v>
      </c>
      <c r="U16" s="1">
        <v>6411.0724960482821</v>
      </c>
      <c r="V16" s="1">
        <v>5089.2770556847727</v>
      </c>
      <c r="W16" s="1">
        <v>6767.3744530110444</v>
      </c>
      <c r="X16" s="1">
        <v>7084.9325842696635</v>
      </c>
      <c r="Y16" s="1">
        <v>5843.6391084273164</v>
      </c>
      <c r="Z16" s="1">
        <v>6333.5105113636373</v>
      </c>
      <c r="AA16" s="1">
        <v>3000</v>
      </c>
      <c r="AB16" s="1">
        <v>3918</v>
      </c>
      <c r="AC16" s="1">
        <v>5061.7717732207484</v>
      </c>
      <c r="AD16" s="1">
        <v>6257.3292023433978</v>
      </c>
      <c r="AE16" s="1">
        <v>5861.9799062290685</v>
      </c>
      <c r="AF16" s="1">
        <v>8342</v>
      </c>
      <c r="AG16" s="1">
        <v>7012</v>
      </c>
      <c r="AH16" s="1">
        <v>3605.5108519021437</v>
      </c>
      <c r="AI16" s="1">
        <v>6179.6632871073925</v>
      </c>
      <c r="AJ16" s="1">
        <v>5661.6850123180293</v>
      </c>
      <c r="AK16" s="2">
        <v>2022</v>
      </c>
      <c r="AL16" s="2" t="s">
        <v>65</v>
      </c>
      <c r="AM16" s="2" t="s">
        <v>63</v>
      </c>
    </row>
    <row r="17" spans="1:39" x14ac:dyDescent="0.25">
      <c r="A17" t="s">
        <v>48</v>
      </c>
      <c r="B17" s="1">
        <v>3150.8133116883118</v>
      </c>
      <c r="C17" s="1">
        <v>3000</v>
      </c>
      <c r="D17" s="1">
        <v>3441</v>
      </c>
      <c r="E17" s="1">
        <v>2876</v>
      </c>
      <c r="F17" s="1">
        <v>3000</v>
      </c>
      <c r="G17" s="1">
        <v>2708</v>
      </c>
      <c r="H17" s="1">
        <v>3015</v>
      </c>
      <c r="I17" s="1">
        <v>3156</v>
      </c>
      <c r="J17" s="1">
        <v>3674.7031899786994</v>
      </c>
      <c r="K17" s="1">
        <v>3392</v>
      </c>
      <c r="L17" s="1">
        <v>3543</v>
      </c>
      <c r="M17" s="1">
        <v>0</v>
      </c>
      <c r="N17" s="1">
        <v>0</v>
      </c>
      <c r="O17" s="1">
        <v>0</v>
      </c>
      <c r="P17" s="1">
        <v>0</v>
      </c>
      <c r="Q17" s="1">
        <v>3358</v>
      </c>
      <c r="R17" s="1">
        <v>0</v>
      </c>
      <c r="S17" s="1">
        <v>3901</v>
      </c>
      <c r="T17" s="1">
        <v>3605.0777066269548</v>
      </c>
      <c r="U17" s="1">
        <v>3531</v>
      </c>
      <c r="V17" s="1">
        <v>3549</v>
      </c>
      <c r="W17" s="1">
        <v>3842</v>
      </c>
      <c r="X17" s="1">
        <v>3699</v>
      </c>
      <c r="Y17" s="1">
        <v>3671.6891871826092</v>
      </c>
      <c r="Z17" s="1">
        <v>3754</v>
      </c>
      <c r="AA17" s="1">
        <v>0</v>
      </c>
      <c r="AB17" s="1">
        <v>0</v>
      </c>
      <c r="AC17" s="1">
        <v>3536</v>
      </c>
      <c r="AD17" s="1">
        <v>3484.2148415786551</v>
      </c>
      <c r="AE17" s="1">
        <v>3630</v>
      </c>
      <c r="AF17" s="1">
        <v>3482</v>
      </c>
      <c r="AG17" s="1">
        <v>3356</v>
      </c>
      <c r="AH17" s="1">
        <v>3455.6607596057365</v>
      </c>
      <c r="AI17" s="1">
        <v>3568.2970127601461</v>
      </c>
      <c r="AJ17" s="1">
        <v>3550.6439643589724</v>
      </c>
      <c r="AK17" s="2">
        <v>2022</v>
      </c>
      <c r="AL17" s="2" t="s">
        <v>65</v>
      </c>
      <c r="AM17" s="2" t="s">
        <v>63</v>
      </c>
    </row>
    <row r="18" spans="1:39" x14ac:dyDescent="0.25">
      <c r="A18" t="s">
        <v>49</v>
      </c>
      <c r="B18" s="1">
        <v>2468.3729569093612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2465</v>
      </c>
      <c r="I18" s="1">
        <v>2470</v>
      </c>
      <c r="J18" s="1">
        <v>1734.8491930996106</v>
      </c>
      <c r="K18" s="1">
        <v>2384</v>
      </c>
      <c r="L18" s="1">
        <v>2100</v>
      </c>
      <c r="M18" s="1">
        <v>0</v>
      </c>
      <c r="N18" s="1">
        <v>1154</v>
      </c>
      <c r="O18" s="1">
        <v>0</v>
      </c>
      <c r="P18" s="1">
        <v>0</v>
      </c>
      <c r="Q18" s="1">
        <v>0</v>
      </c>
      <c r="R18" s="1">
        <v>0</v>
      </c>
      <c r="S18" s="1">
        <v>1639</v>
      </c>
      <c r="T18" s="1">
        <v>3164.3599853291767</v>
      </c>
      <c r="U18" s="1">
        <v>2742</v>
      </c>
      <c r="V18" s="1">
        <v>3876</v>
      </c>
      <c r="W18" s="1">
        <v>3053</v>
      </c>
      <c r="X18" s="1">
        <v>3976</v>
      </c>
      <c r="Y18" s="1">
        <v>2883.8687727825031</v>
      </c>
      <c r="Z18" s="1">
        <v>2888</v>
      </c>
      <c r="AA18" s="1">
        <v>0</v>
      </c>
      <c r="AB18" s="1">
        <v>0</v>
      </c>
      <c r="AC18" s="1">
        <v>2820</v>
      </c>
      <c r="AD18" s="1">
        <v>3500</v>
      </c>
      <c r="AE18" s="1">
        <v>3500</v>
      </c>
      <c r="AF18" s="1">
        <v>0</v>
      </c>
      <c r="AG18" s="1">
        <v>0</v>
      </c>
      <c r="AH18" s="1">
        <v>1934.712145748988</v>
      </c>
      <c r="AI18" s="1">
        <v>3084.8540815062556</v>
      </c>
      <c r="AJ18" s="1">
        <v>2815.4003604287209</v>
      </c>
      <c r="AK18" s="2">
        <v>2022</v>
      </c>
      <c r="AL18" s="2" t="s">
        <v>65</v>
      </c>
      <c r="AM18" s="2" t="s">
        <v>63</v>
      </c>
    </row>
    <row r="19" spans="1:39" x14ac:dyDescent="0.25">
      <c r="A19" t="s">
        <v>50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1516</v>
      </c>
      <c r="U19" s="1">
        <v>0</v>
      </c>
      <c r="V19" s="1">
        <v>1517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2451</v>
      </c>
      <c r="AE19" s="1">
        <v>2242</v>
      </c>
      <c r="AF19" s="1">
        <v>0</v>
      </c>
      <c r="AG19" s="1">
        <v>2517</v>
      </c>
      <c r="AH19" s="1">
        <v>0</v>
      </c>
      <c r="AI19" s="1">
        <v>2359</v>
      </c>
      <c r="AJ19" s="1">
        <v>2359</v>
      </c>
      <c r="AK19" s="2">
        <v>2022</v>
      </c>
      <c r="AL19" s="2" t="s">
        <v>65</v>
      </c>
      <c r="AM19" s="2" t="s">
        <v>63</v>
      </c>
    </row>
    <row r="20" spans="1:39" x14ac:dyDescent="0.25">
      <c r="A20" t="s">
        <v>51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1509</v>
      </c>
      <c r="AE20" s="1">
        <v>1480</v>
      </c>
      <c r="AF20" s="1">
        <v>0</v>
      </c>
      <c r="AG20" s="1">
        <v>1510</v>
      </c>
      <c r="AH20" s="1">
        <v>0</v>
      </c>
      <c r="AI20" s="1">
        <v>1509</v>
      </c>
      <c r="AJ20" s="1">
        <v>1509</v>
      </c>
      <c r="AK20" s="2">
        <v>2022</v>
      </c>
      <c r="AL20" s="2" t="s">
        <v>65</v>
      </c>
      <c r="AM20" s="2" t="s">
        <v>63</v>
      </c>
    </row>
    <row r="21" spans="1:39" x14ac:dyDescent="0.25">
      <c r="A21" t="s">
        <v>52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2340</v>
      </c>
      <c r="AE21" s="1">
        <v>2298</v>
      </c>
      <c r="AF21" s="1">
        <v>0</v>
      </c>
      <c r="AG21" s="1">
        <v>2460</v>
      </c>
      <c r="AH21" s="1">
        <v>0</v>
      </c>
      <c r="AI21" s="1">
        <v>2340</v>
      </c>
      <c r="AJ21" s="1">
        <v>2340</v>
      </c>
      <c r="AK21" s="2">
        <v>2022</v>
      </c>
      <c r="AL21" s="2" t="s">
        <v>65</v>
      </c>
      <c r="AM21" s="2" t="s">
        <v>63</v>
      </c>
    </row>
    <row r="22" spans="1:39" x14ac:dyDescent="0.25">
      <c r="A22" t="s">
        <v>53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4182</v>
      </c>
      <c r="AE22" s="1">
        <v>4649</v>
      </c>
      <c r="AF22" s="1">
        <v>3396</v>
      </c>
      <c r="AG22" s="1">
        <v>3213</v>
      </c>
      <c r="AH22" s="1">
        <v>0</v>
      </c>
      <c r="AI22" s="1">
        <v>4182</v>
      </c>
      <c r="AJ22" s="1">
        <v>4182</v>
      </c>
      <c r="AK22" s="2">
        <v>2022</v>
      </c>
      <c r="AL22" s="2" t="s">
        <v>65</v>
      </c>
      <c r="AM22" s="2" t="s">
        <v>63</v>
      </c>
    </row>
    <row r="23" spans="1:39" x14ac:dyDescent="0.25">
      <c r="A23" t="s">
        <v>54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5700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5700</v>
      </c>
      <c r="T23" s="1">
        <v>2321</v>
      </c>
      <c r="U23" s="1">
        <v>0</v>
      </c>
      <c r="V23" s="1">
        <v>2372</v>
      </c>
      <c r="W23" s="1">
        <v>2250</v>
      </c>
      <c r="X23" s="1">
        <v>3339</v>
      </c>
      <c r="Y23" s="1">
        <v>2962</v>
      </c>
      <c r="Z23" s="1">
        <v>2743</v>
      </c>
      <c r="AA23" s="1">
        <v>0</v>
      </c>
      <c r="AB23" s="1">
        <v>0</v>
      </c>
      <c r="AC23" s="1">
        <v>3212</v>
      </c>
      <c r="AD23" s="1">
        <v>3142</v>
      </c>
      <c r="AE23" s="1">
        <v>3053</v>
      </c>
      <c r="AF23" s="1">
        <v>3457</v>
      </c>
      <c r="AG23" s="1">
        <v>3186</v>
      </c>
      <c r="AH23" s="1">
        <v>5700</v>
      </c>
      <c r="AI23" s="1">
        <v>3108</v>
      </c>
      <c r="AJ23" s="1">
        <v>3114</v>
      </c>
      <c r="AK23" s="2">
        <v>2022</v>
      </c>
      <c r="AL23" s="2" t="s">
        <v>65</v>
      </c>
      <c r="AM23" s="2" t="s">
        <v>63</v>
      </c>
    </row>
    <row r="24" spans="1:39" x14ac:dyDescent="0.25">
      <c r="A24" t="s">
        <v>55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2722</v>
      </c>
      <c r="Z24" s="1">
        <v>0</v>
      </c>
      <c r="AA24" s="1">
        <v>0</v>
      </c>
      <c r="AB24" s="1">
        <v>0</v>
      </c>
      <c r="AC24" s="1">
        <v>2700</v>
      </c>
      <c r="AD24" s="1">
        <v>3245</v>
      </c>
      <c r="AE24" s="1">
        <v>3260</v>
      </c>
      <c r="AF24" s="1">
        <v>0</v>
      </c>
      <c r="AG24" s="1">
        <v>3222</v>
      </c>
      <c r="AH24" s="1">
        <v>0</v>
      </c>
      <c r="AI24" s="1">
        <v>3193</v>
      </c>
      <c r="AJ24" s="1">
        <v>3193</v>
      </c>
      <c r="AK24" s="2">
        <v>2022</v>
      </c>
      <c r="AL24" s="2" t="s">
        <v>65</v>
      </c>
      <c r="AM24" s="2" t="s">
        <v>63</v>
      </c>
    </row>
    <row r="25" spans="1:39" x14ac:dyDescent="0.25">
      <c r="A25" t="s">
        <v>56</v>
      </c>
      <c r="B25" s="1">
        <v>2661.4369044991249</v>
      </c>
      <c r="C25" s="1">
        <v>4429</v>
      </c>
      <c r="D25" s="1">
        <v>2803.0415793151642</v>
      </c>
      <c r="E25" s="1">
        <v>1629.3897795591183</v>
      </c>
      <c r="F25" s="1">
        <v>2121.1666666666665</v>
      </c>
      <c r="G25" s="1">
        <v>1257</v>
      </c>
      <c r="H25" s="1">
        <v>2275.1289894737465</v>
      </c>
      <c r="I25" s="1">
        <v>2912.6211960397463</v>
      </c>
      <c r="J25" s="1">
        <v>2346.9234019253095</v>
      </c>
      <c r="K25" s="1">
        <v>2714.5579590325583</v>
      </c>
      <c r="L25" s="1">
        <v>2455.6805217086608</v>
      </c>
      <c r="M25" s="1">
        <v>1430.1447933884294</v>
      </c>
      <c r="N25" s="1">
        <v>1968.3333333333333</v>
      </c>
      <c r="O25" s="1">
        <v>696.06935892792467</v>
      </c>
      <c r="P25" s="1">
        <v>2438.5072278806956</v>
      </c>
      <c r="Q25" s="1">
        <v>2529.8437908496735</v>
      </c>
      <c r="R25" s="1">
        <v>4360.2</v>
      </c>
      <c r="S25" s="1">
        <v>2378.734581227583</v>
      </c>
      <c r="T25" s="1">
        <v>2793.1272443435441</v>
      </c>
      <c r="U25" s="1">
        <v>2627.5792227291472</v>
      </c>
      <c r="V25" s="1">
        <v>3546.1176975179205</v>
      </c>
      <c r="W25" s="1">
        <v>3147.1539344089883</v>
      </c>
      <c r="X25" s="1">
        <v>3258.7487570128451</v>
      </c>
      <c r="Y25" s="1">
        <v>2801.3290804995672</v>
      </c>
      <c r="Z25" s="1">
        <v>2722.109542437016</v>
      </c>
      <c r="AA25" s="1">
        <v>2526.6273684210528</v>
      </c>
      <c r="AB25" s="1">
        <v>2493.8222222222221</v>
      </c>
      <c r="AC25" s="1">
        <v>3298.0193248799064</v>
      </c>
      <c r="AD25" s="1">
        <v>3199.7382732853357</v>
      </c>
      <c r="AE25" s="1">
        <v>3178.8909710659732</v>
      </c>
      <c r="AF25" s="1">
        <v>4491.9901323515551</v>
      </c>
      <c r="AG25" s="1">
        <v>3538.2289050846011</v>
      </c>
      <c r="AH25" s="1">
        <v>2340.916794340862</v>
      </c>
      <c r="AI25" s="1">
        <v>3079.1455400823079</v>
      </c>
      <c r="AJ25" s="1">
        <v>2874.7417735293325</v>
      </c>
      <c r="AK25" s="2">
        <v>2022</v>
      </c>
      <c r="AL25" s="2" t="s">
        <v>65</v>
      </c>
      <c r="AM25" s="2" t="s">
        <v>63</v>
      </c>
    </row>
    <row r="26" spans="1:39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2"/>
      <c r="AL26" s="2"/>
      <c r="AM26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6B43-6B79-4F6C-BEBB-EEE94FDB59C5}">
  <dimension ref="A1:AM36"/>
  <sheetViews>
    <sheetView tabSelected="1" workbookViewId="0">
      <selection activeCell="B2" sqref="B2:Y36"/>
    </sheetView>
  </sheetViews>
  <sheetFormatPr defaultRowHeight="15" x14ac:dyDescent="0.25"/>
  <cols>
    <col min="1" max="1" width="18.140625" bestFit="1" customWidth="1"/>
    <col min="2" max="2" width="18.140625" customWidth="1"/>
    <col min="3" max="3" width="19.140625" customWidth="1"/>
    <col min="4" max="4" width="20.140625" customWidth="1"/>
    <col min="5" max="5" width="13.85546875" customWidth="1"/>
    <col min="6" max="6" width="15.140625" customWidth="1"/>
    <col min="7" max="7" width="18.5703125" customWidth="1"/>
    <col min="8" max="8" width="18.42578125" customWidth="1"/>
    <col min="9" max="9" width="15.140625" customWidth="1"/>
    <col min="10" max="11" width="15.28515625" customWidth="1"/>
    <col min="12" max="12" width="15.140625" customWidth="1"/>
    <col min="13" max="13" width="12.42578125" customWidth="1"/>
    <col min="14" max="14" width="11.85546875" customWidth="1"/>
    <col min="15" max="15" width="12.28515625" customWidth="1"/>
    <col min="18" max="18" width="9.5703125" customWidth="1"/>
    <col min="20" max="20" width="16.42578125" customWidth="1"/>
    <col min="21" max="21" width="10.7109375" customWidth="1"/>
    <col min="22" max="22" width="10.42578125" customWidth="1"/>
    <col min="24" max="24" width="11.7109375" customWidth="1"/>
    <col min="25" max="25" width="10.85546875" customWidth="1"/>
    <col min="27" max="27" width="11.5703125" bestFit="1" customWidth="1"/>
    <col min="30" max="31" width="9.5703125" bestFit="1" customWidth="1"/>
    <col min="33" max="33" width="9.5703125" bestFit="1" customWidth="1"/>
    <col min="34" max="34" width="19.140625" customWidth="1"/>
    <col min="35" max="35" width="14.28515625" customWidth="1"/>
    <col min="36" max="36" width="9.5703125" bestFit="1" customWidth="1"/>
    <col min="38" max="38" width="9.7109375" bestFit="1" customWidth="1"/>
  </cols>
  <sheetData>
    <row r="1" spans="1:28" x14ac:dyDescent="0.25">
      <c r="A1" t="s">
        <v>64</v>
      </c>
      <c r="B1" t="s">
        <v>35</v>
      </c>
      <c r="C1" t="s">
        <v>36</v>
      </c>
      <c r="D1" t="s">
        <v>37</v>
      </c>
      <c r="E1" t="s">
        <v>33</v>
      </c>
      <c r="F1" t="s">
        <v>38</v>
      </c>
      <c r="G1" t="s">
        <v>34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60</v>
      </c>
      <c r="AA1" t="s">
        <v>61</v>
      </c>
      <c r="AB1" t="s">
        <v>62</v>
      </c>
    </row>
    <row r="2" spans="1:28" x14ac:dyDescent="0.25">
      <c r="A2" t="s">
        <v>1</v>
      </c>
      <c r="B2" s="1">
        <v>3957.2</v>
      </c>
      <c r="C2" s="1">
        <v>1536.0800000000002</v>
      </c>
      <c r="D2" s="1">
        <v>2421.1200000000003</v>
      </c>
      <c r="E2" s="1">
        <v>0</v>
      </c>
      <c r="F2" s="1">
        <v>4644.6793750000006</v>
      </c>
      <c r="G2" s="1">
        <v>2731.9665653495445</v>
      </c>
      <c r="H2" s="1">
        <v>5980.7356687898091</v>
      </c>
      <c r="I2" s="1">
        <v>982.31709558823525</v>
      </c>
      <c r="J2" s="1">
        <v>907.86206896551732</v>
      </c>
      <c r="K2" s="1">
        <v>0</v>
      </c>
      <c r="L2" s="1">
        <v>988.7882117882117</v>
      </c>
      <c r="M2" s="1">
        <v>529.9761163032191</v>
      </c>
      <c r="N2" s="1">
        <v>0</v>
      </c>
      <c r="O2" s="1">
        <v>0</v>
      </c>
      <c r="P2" s="1">
        <v>4298.7683881064158</v>
      </c>
      <c r="Q2" s="1">
        <v>3150.8133116883118</v>
      </c>
      <c r="R2" s="1">
        <v>2468.3729569093612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2661.4369044991249</v>
      </c>
      <c r="Z2">
        <v>2022</v>
      </c>
      <c r="AA2" s="2" t="s">
        <v>65</v>
      </c>
      <c r="AB2" s="2" t="s">
        <v>63</v>
      </c>
    </row>
    <row r="3" spans="1:28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7592</v>
      </c>
      <c r="G3" s="1">
        <v>0</v>
      </c>
      <c r="H3" s="1">
        <v>7592</v>
      </c>
      <c r="I3" s="1">
        <v>1195</v>
      </c>
      <c r="J3" s="1">
        <v>0</v>
      </c>
      <c r="K3" s="1">
        <v>0</v>
      </c>
      <c r="L3" s="1">
        <v>1195</v>
      </c>
      <c r="M3" s="1">
        <v>0</v>
      </c>
      <c r="N3" s="1">
        <v>0</v>
      </c>
      <c r="O3" s="1">
        <v>0</v>
      </c>
      <c r="P3" s="1">
        <v>6000</v>
      </c>
      <c r="Q3" s="1">
        <v>3000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4429</v>
      </c>
      <c r="Z3">
        <v>2022</v>
      </c>
      <c r="AA3" s="2" t="s">
        <v>65</v>
      </c>
      <c r="AB3" s="2" t="s">
        <v>63</v>
      </c>
    </row>
    <row r="4" spans="1:28" x14ac:dyDescent="0.25">
      <c r="A4" t="s">
        <v>3</v>
      </c>
      <c r="B4" s="1">
        <v>3900</v>
      </c>
      <c r="C4" s="1">
        <v>1482.0000000000002</v>
      </c>
      <c r="D4" s="1">
        <v>2418</v>
      </c>
      <c r="E4" s="1">
        <v>0</v>
      </c>
      <c r="F4" s="1">
        <v>3316</v>
      </c>
      <c r="G4" s="1">
        <v>3316</v>
      </c>
      <c r="H4" s="1">
        <v>0</v>
      </c>
      <c r="I4" s="1">
        <v>1091</v>
      </c>
      <c r="J4" s="1">
        <v>1091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5172.3742138364778</v>
      </c>
      <c r="Q4" s="1">
        <v>3441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2803.0415793151642</v>
      </c>
      <c r="Z4">
        <v>2022</v>
      </c>
      <c r="AA4" s="2" t="s">
        <v>65</v>
      </c>
      <c r="AB4" s="2" t="s">
        <v>63</v>
      </c>
    </row>
    <row r="5" spans="1:28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1309</v>
      </c>
      <c r="G5" s="1">
        <v>1309</v>
      </c>
      <c r="H5" s="1">
        <v>0</v>
      </c>
      <c r="I5" s="1">
        <v>585</v>
      </c>
      <c r="J5" s="1">
        <v>0</v>
      </c>
      <c r="K5" s="1">
        <v>0</v>
      </c>
      <c r="L5" s="1">
        <v>585</v>
      </c>
      <c r="M5" s="1">
        <v>0</v>
      </c>
      <c r="N5" s="1">
        <v>0</v>
      </c>
      <c r="O5" s="1">
        <v>0</v>
      </c>
      <c r="P5" s="1">
        <v>3112.338677354709</v>
      </c>
      <c r="Q5" s="1">
        <v>2876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1629.3897795591183</v>
      </c>
      <c r="Z5">
        <v>2022</v>
      </c>
      <c r="AA5" s="2" t="s">
        <v>65</v>
      </c>
      <c r="AB5" s="2" t="s">
        <v>63</v>
      </c>
    </row>
    <row r="6" spans="1:28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2689</v>
      </c>
      <c r="G6" s="1">
        <v>2689</v>
      </c>
      <c r="H6" s="1">
        <v>0</v>
      </c>
      <c r="I6" s="1">
        <v>905.00000000000011</v>
      </c>
      <c r="J6" s="1">
        <v>0</v>
      </c>
      <c r="K6" s="1">
        <v>0</v>
      </c>
      <c r="L6" s="1">
        <v>905.00000000000011</v>
      </c>
      <c r="M6" s="1">
        <v>0</v>
      </c>
      <c r="N6" s="1">
        <v>0</v>
      </c>
      <c r="O6" s="1">
        <v>0</v>
      </c>
      <c r="P6" s="1">
        <v>2539</v>
      </c>
      <c r="Q6" s="1">
        <v>3000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2121.1666666666665</v>
      </c>
      <c r="Z6">
        <v>2022</v>
      </c>
      <c r="AA6" s="2" t="s">
        <v>65</v>
      </c>
      <c r="AB6" s="2" t="s">
        <v>63</v>
      </c>
    </row>
    <row r="7" spans="1:28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994</v>
      </c>
      <c r="G7" s="1">
        <v>994</v>
      </c>
      <c r="H7" s="1">
        <v>0</v>
      </c>
      <c r="I7" s="1">
        <v>953</v>
      </c>
      <c r="J7" s="1">
        <v>953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940</v>
      </c>
      <c r="Q7" s="1">
        <v>2708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1257</v>
      </c>
      <c r="Z7">
        <v>2022</v>
      </c>
      <c r="AA7" s="2" t="s">
        <v>65</v>
      </c>
      <c r="AB7" s="2" t="s">
        <v>63</v>
      </c>
    </row>
    <row r="8" spans="1:28" x14ac:dyDescent="0.25">
      <c r="A8" t="s">
        <v>7</v>
      </c>
      <c r="B8" s="1">
        <v>0</v>
      </c>
      <c r="C8" s="1">
        <v>0</v>
      </c>
      <c r="D8" s="1">
        <v>0</v>
      </c>
      <c r="E8" s="1">
        <v>0</v>
      </c>
      <c r="F8" s="1">
        <v>2955.5176470588235</v>
      </c>
      <c r="G8" s="1">
        <v>2524</v>
      </c>
      <c r="H8" s="1">
        <v>5936</v>
      </c>
      <c r="I8" s="1">
        <v>763.57347670250897</v>
      </c>
      <c r="J8" s="1">
        <v>635</v>
      </c>
      <c r="K8" s="1">
        <v>0</v>
      </c>
      <c r="L8" s="1">
        <v>787</v>
      </c>
      <c r="M8" s="1">
        <v>480</v>
      </c>
      <c r="N8" s="1">
        <v>0</v>
      </c>
      <c r="O8" s="1">
        <v>0</v>
      </c>
      <c r="P8" s="1">
        <v>3190.1987709761288</v>
      </c>
      <c r="Q8" s="1">
        <v>3015</v>
      </c>
      <c r="R8" s="1">
        <v>2465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2275.1289894737465</v>
      </c>
      <c r="Z8">
        <v>2022</v>
      </c>
      <c r="AA8" s="2" t="s">
        <v>65</v>
      </c>
      <c r="AB8" s="2" t="s">
        <v>63</v>
      </c>
    </row>
    <row r="9" spans="1:28" x14ac:dyDescent="0.25">
      <c r="A9" t="s">
        <v>8</v>
      </c>
      <c r="B9" s="1">
        <v>4043</v>
      </c>
      <c r="C9" s="1">
        <v>1617.1999999999998</v>
      </c>
      <c r="D9" s="1">
        <v>2425.8000000000002</v>
      </c>
      <c r="E9" s="1">
        <v>0</v>
      </c>
      <c r="F9" s="1">
        <v>5565.5738705738713</v>
      </c>
      <c r="G9" s="1">
        <v>2266</v>
      </c>
      <c r="H9" s="1">
        <v>5735</v>
      </c>
      <c r="I9" s="1">
        <v>1095.5849624060149</v>
      </c>
      <c r="J9" s="1">
        <v>2868</v>
      </c>
      <c r="K9" s="1">
        <v>0</v>
      </c>
      <c r="L9" s="1">
        <v>1087.5528700906343</v>
      </c>
      <c r="M9" s="1">
        <v>629</v>
      </c>
      <c r="N9" s="1">
        <v>0</v>
      </c>
      <c r="O9" s="1">
        <v>0</v>
      </c>
      <c r="P9" s="1">
        <v>4905.3638454461816</v>
      </c>
      <c r="Q9" s="1">
        <v>3156</v>
      </c>
      <c r="R9" s="1">
        <v>2470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2912.6211960397463</v>
      </c>
      <c r="Z9">
        <v>2022</v>
      </c>
      <c r="AA9" s="2" t="s">
        <v>65</v>
      </c>
      <c r="AB9" s="2" t="s">
        <v>63</v>
      </c>
    </row>
    <row r="10" spans="1:28" x14ac:dyDescent="0.25">
      <c r="A10" t="s">
        <v>9</v>
      </c>
      <c r="B10" s="1">
        <v>4644.7852161785213</v>
      </c>
      <c r="C10" s="1">
        <v>1903.3238298465831</v>
      </c>
      <c r="D10" s="1">
        <v>2741.4613863319387</v>
      </c>
      <c r="E10" s="1">
        <v>1023.0540540540541</v>
      </c>
      <c r="F10" s="1">
        <v>2182.8416821273968</v>
      </c>
      <c r="G10" s="1">
        <v>1662.9538138558432</v>
      </c>
      <c r="H10" s="1">
        <v>6134.5425531914889</v>
      </c>
      <c r="I10" s="1">
        <v>467.62987972146016</v>
      </c>
      <c r="J10" s="1">
        <v>690.39893617021278</v>
      </c>
      <c r="K10" s="1">
        <v>482.5384615384616</v>
      </c>
      <c r="L10" s="1">
        <v>391.31864665965787</v>
      </c>
      <c r="M10" s="1">
        <v>0</v>
      </c>
      <c r="N10" s="1">
        <v>0</v>
      </c>
      <c r="O10" s="1">
        <v>767.61460446247452</v>
      </c>
      <c r="P10" s="1">
        <v>3348.7589835885547</v>
      </c>
      <c r="Q10" s="1">
        <v>3674.7031899786994</v>
      </c>
      <c r="R10" s="1">
        <v>1734.8491930996106</v>
      </c>
      <c r="S10" s="1">
        <v>0</v>
      </c>
      <c r="T10" s="1">
        <v>0</v>
      </c>
      <c r="U10" s="1">
        <v>0</v>
      </c>
      <c r="V10" s="1">
        <v>0</v>
      </c>
      <c r="W10" s="1">
        <v>5700</v>
      </c>
      <c r="X10" s="1">
        <v>0</v>
      </c>
      <c r="Y10" s="1">
        <v>2346.9234019253095</v>
      </c>
      <c r="Z10">
        <v>2022</v>
      </c>
      <c r="AA10" s="2" t="s">
        <v>65</v>
      </c>
      <c r="AB10" s="2" t="s">
        <v>63</v>
      </c>
    </row>
    <row r="11" spans="1:28" x14ac:dyDescent="0.25">
      <c r="A11" t="s">
        <v>10</v>
      </c>
      <c r="B11" s="1">
        <v>4397</v>
      </c>
      <c r="C11" s="1">
        <v>1802.77</v>
      </c>
      <c r="D11" s="1">
        <v>2594.2300000000005</v>
      </c>
      <c r="E11" s="1">
        <v>0</v>
      </c>
      <c r="F11" s="1">
        <v>1830.466403162055</v>
      </c>
      <c r="G11" s="1">
        <v>1721</v>
      </c>
      <c r="H11" s="1">
        <v>5541</v>
      </c>
      <c r="I11" s="1">
        <v>576.39087301587301</v>
      </c>
      <c r="J11" s="1">
        <v>0</v>
      </c>
      <c r="K11" s="1">
        <v>0</v>
      </c>
      <c r="L11" s="1">
        <v>576.39087301587301</v>
      </c>
      <c r="M11" s="1">
        <v>0</v>
      </c>
      <c r="N11" s="1">
        <v>0</v>
      </c>
      <c r="O11" s="1">
        <v>0</v>
      </c>
      <c r="P11" s="1">
        <v>5044.8894001643384</v>
      </c>
      <c r="Q11" s="1">
        <v>3392</v>
      </c>
      <c r="R11" s="1">
        <v>2384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2714.5579590325583</v>
      </c>
      <c r="Z11">
        <v>2022</v>
      </c>
      <c r="AA11" s="2" t="s">
        <v>65</v>
      </c>
      <c r="AB11" s="2" t="s">
        <v>63</v>
      </c>
    </row>
    <row r="12" spans="1:28" x14ac:dyDescent="0.25">
      <c r="A12" t="s">
        <v>11</v>
      </c>
      <c r="B12" s="1">
        <v>3905</v>
      </c>
      <c r="C12" s="1">
        <v>1601.05</v>
      </c>
      <c r="D12" s="1">
        <v>2303.9499999999994</v>
      </c>
      <c r="E12" s="1">
        <v>0</v>
      </c>
      <c r="F12" s="1">
        <v>1877.5859030837003</v>
      </c>
      <c r="G12" s="1">
        <v>1561</v>
      </c>
      <c r="H12" s="1">
        <v>4755</v>
      </c>
      <c r="I12" s="1">
        <v>346.89762150982421</v>
      </c>
      <c r="J12" s="1">
        <v>0</v>
      </c>
      <c r="K12" s="1">
        <v>0</v>
      </c>
      <c r="L12" s="1">
        <v>346.89762150982421</v>
      </c>
      <c r="M12" s="1">
        <v>0</v>
      </c>
      <c r="N12" s="1">
        <v>0</v>
      </c>
      <c r="O12" s="1">
        <v>0</v>
      </c>
      <c r="P12" s="1">
        <v>4672.1045926919205</v>
      </c>
      <c r="Q12" s="1">
        <v>3543</v>
      </c>
      <c r="R12" s="1">
        <v>2100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2455.6805217086608</v>
      </c>
      <c r="Z12">
        <v>2022</v>
      </c>
      <c r="AA12" s="2" t="s">
        <v>65</v>
      </c>
      <c r="AB12" s="2" t="s">
        <v>63</v>
      </c>
    </row>
    <row r="13" spans="1:28" x14ac:dyDescent="0.25">
      <c r="A13" t="s">
        <v>12</v>
      </c>
      <c r="B13" s="1">
        <v>1413</v>
      </c>
      <c r="C13" s="1">
        <v>494.55</v>
      </c>
      <c r="D13" s="1">
        <v>918.44999999999982</v>
      </c>
      <c r="E13" s="1">
        <v>1158</v>
      </c>
      <c r="F13" s="1">
        <v>3517.4399999999996</v>
      </c>
      <c r="G13" s="1">
        <v>1260</v>
      </c>
      <c r="H13" s="1">
        <v>5963</v>
      </c>
      <c r="I13" s="1">
        <v>316.29752066115702</v>
      </c>
      <c r="J13" s="1">
        <v>624</v>
      </c>
      <c r="K13" s="1">
        <v>0</v>
      </c>
      <c r="L13" s="1">
        <v>312</v>
      </c>
      <c r="M13" s="1">
        <v>0</v>
      </c>
      <c r="N13" s="1">
        <v>0</v>
      </c>
      <c r="O13" s="1">
        <v>242</v>
      </c>
      <c r="P13" s="1">
        <v>943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1430.1447933884294</v>
      </c>
      <c r="Z13">
        <v>2022</v>
      </c>
      <c r="AA13" s="2" t="s">
        <v>65</v>
      </c>
      <c r="AB13" s="2" t="s">
        <v>63</v>
      </c>
    </row>
    <row r="14" spans="1:28" x14ac:dyDescent="0.25">
      <c r="A14" t="s">
        <v>13</v>
      </c>
      <c r="B14" s="1">
        <v>3872</v>
      </c>
      <c r="C14" s="1">
        <v>1471.36</v>
      </c>
      <c r="D14" s="1">
        <v>2400.6400000000003</v>
      </c>
      <c r="E14" s="1">
        <v>0</v>
      </c>
      <c r="F14" s="1">
        <v>3721</v>
      </c>
      <c r="G14" s="1">
        <v>0</v>
      </c>
      <c r="H14" s="1">
        <v>3721</v>
      </c>
      <c r="I14" s="1">
        <v>410</v>
      </c>
      <c r="J14" s="1">
        <v>0</v>
      </c>
      <c r="K14" s="1">
        <v>0</v>
      </c>
      <c r="L14" s="1">
        <v>410</v>
      </c>
      <c r="M14" s="1">
        <v>0</v>
      </c>
      <c r="N14" s="1">
        <v>0</v>
      </c>
      <c r="O14" s="1">
        <v>0</v>
      </c>
      <c r="P14" s="1">
        <v>555</v>
      </c>
      <c r="Q14" s="1">
        <v>0</v>
      </c>
      <c r="R14" s="1">
        <v>1154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1968.3333333333333</v>
      </c>
      <c r="Z14">
        <v>2022</v>
      </c>
      <c r="AA14" s="2" t="s">
        <v>65</v>
      </c>
      <c r="AB14" s="2" t="s">
        <v>63</v>
      </c>
    </row>
    <row r="15" spans="1:28" x14ac:dyDescent="0.25">
      <c r="A15" t="s">
        <v>14</v>
      </c>
      <c r="B15" s="1">
        <v>1059</v>
      </c>
      <c r="C15" s="1">
        <v>381.23999999999995</v>
      </c>
      <c r="D15" s="1">
        <v>677.76</v>
      </c>
      <c r="E15" s="1">
        <v>779</v>
      </c>
      <c r="F15" s="1">
        <v>1219</v>
      </c>
      <c r="G15" s="1">
        <v>1219</v>
      </c>
      <c r="H15" s="1">
        <v>0</v>
      </c>
      <c r="I15" s="1">
        <v>377.76294820717129</v>
      </c>
      <c r="J15" s="1">
        <v>491</v>
      </c>
      <c r="K15" s="1">
        <v>495</v>
      </c>
      <c r="L15" s="1">
        <v>336</v>
      </c>
      <c r="M15" s="1">
        <v>0</v>
      </c>
      <c r="N15" s="1">
        <v>0</v>
      </c>
      <c r="O15" s="1">
        <v>0</v>
      </c>
      <c r="P15" s="1">
        <v>622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696.06935892792467</v>
      </c>
      <c r="Z15">
        <v>2022</v>
      </c>
      <c r="AA15" s="2" t="s">
        <v>65</v>
      </c>
      <c r="AB15" s="2" t="s">
        <v>63</v>
      </c>
    </row>
    <row r="16" spans="1:28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7325</v>
      </c>
      <c r="G16" s="1">
        <v>0</v>
      </c>
      <c r="H16" s="1">
        <v>7325</v>
      </c>
      <c r="I16" s="1">
        <v>421.68105726872244</v>
      </c>
      <c r="J16" s="1">
        <v>569.44378698224853</v>
      </c>
      <c r="K16" s="1">
        <v>481</v>
      </c>
      <c r="L16" s="1">
        <v>315.21298495645283</v>
      </c>
      <c r="M16" s="1">
        <v>0</v>
      </c>
      <c r="N16" s="1">
        <v>0</v>
      </c>
      <c r="O16" s="1">
        <v>0</v>
      </c>
      <c r="P16" s="1">
        <v>632.21276595744678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2438.5072278806956</v>
      </c>
      <c r="Z16">
        <v>2022</v>
      </c>
      <c r="AA16" s="2" t="s">
        <v>65</v>
      </c>
      <c r="AB16" s="2" t="s">
        <v>63</v>
      </c>
    </row>
    <row r="17" spans="1:39" x14ac:dyDescent="0.25">
      <c r="A17" t="s">
        <v>16</v>
      </c>
      <c r="B17" s="1">
        <v>2626</v>
      </c>
      <c r="C17" s="1">
        <v>919</v>
      </c>
      <c r="D17" s="1">
        <v>1707</v>
      </c>
      <c r="E17" s="1">
        <v>0</v>
      </c>
      <c r="F17" s="1">
        <v>6761</v>
      </c>
      <c r="G17" s="1">
        <v>0</v>
      </c>
      <c r="H17" s="1">
        <v>6761</v>
      </c>
      <c r="I17" s="1">
        <v>341.43790849673206</v>
      </c>
      <c r="J17" s="1">
        <v>323</v>
      </c>
      <c r="K17" s="1">
        <v>0</v>
      </c>
      <c r="L17" s="1">
        <v>414</v>
      </c>
      <c r="M17" s="1">
        <v>0</v>
      </c>
      <c r="N17" s="1">
        <v>0</v>
      </c>
      <c r="O17" s="1">
        <v>0</v>
      </c>
      <c r="P17" s="1">
        <v>2088</v>
      </c>
      <c r="Q17" s="1">
        <v>3358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2529.8437908496735</v>
      </c>
      <c r="Z17">
        <v>2022</v>
      </c>
      <c r="AA17" s="2" t="s">
        <v>65</v>
      </c>
      <c r="AB17" s="2" t="s">
        <v>63</v>
      </c>
    </row>
    <row r="18" spans="1:39" x14ac:dyDescent="0.25">
      <c r="A18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7571.0000000000009</v>
      </c>
      <c r="G18" s="1">
        <v>0</v>
      </c>
      <c r="H18" s="1">
        <v>7571</v>
      </c>
      <c r="I18" s="1">
        <v>725</v>
      </c>
      <c r="J18" s="1">
        <v>725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5209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4360.2</v>
      </c>
      <c r="Z18">
        <v>2022</v>
      </c>
      <c r="AA18" s="2" t="s">
        <v>65</v>
      </c>
      <c r="AB18" s="2" t="s">
        <v>63</v>
      </c>
    </row>
    <row r="19" spans="1:39" x14ac:dyDescent="0.25">
      <c r="A19" t="s">
        <v>18</v>
      </c>
      <c r="B19" s="1">
        <v>4753</v>
      </c>
      <c r="C19" s="1">
        <v>1949</v>
      </c>
      <c r="D19" s="1">
        <v>2804.27</v>
      </c>
      <c r="E19" s="1">
        <v>1068</v>
      </c>
      <c r="F19" s="1">
        <v>0</v>
      </c>
      <c r="G19" s="1">
        <v>0</v>
      </c>
      <c r="H19" s="1">
        <v>0</v>
      </c>
      <c r="I19" s="1">
        <v>709.38731177487034</v>
      </c>
      <c r="J19" s="1">
        <v>803.97856477166818</v>
      </c>
      <c r="K19" s="1">
        <v>0</v>
      </c>
      <c r="L19" s="1">
        <v>602.82939632545936</v>
      </c>
      <c r="M19" s="1">
        <v>0</v>
      </c>
      <c r="N19" s="1">
        <v>0</v>
      </c>
      <c r="O19" s="1">
        <v>773</v>
      </c>
      <c r="P19" s="1">
        <v>3841.3497018589969</v>
      </c>
      <c r="Q19" s="1">
        <v>3901</v>
      </c>
      <c r="R19" s="1">
        <v>1639</v>
      </c>
      <c r="S19" s="1">
        <v>0</v>
      </c>
      <c r="T19" s="1">
        <v>0</v>
      </c>
      <c r="U19" s="1">
        <v>0</v>
      </c>
      <c r="V19" s="1">
        <v>0</v>
      </c>
      <c r="W19" s="1">
        <v>5700</v>
      </c>
      <c r="X19" s="1">
        <v>0</v>
      </c>
      <c r="Y19" s="1">
        <v>2378.734581227583</v>
      </c>
      <c r="Z19">
        <v>2022</v>
      </c>
      <c r="AA19" s="2" t="s">
        <v>65</v>
      </c>
      <c r="AB19" s="2" t="s">
        <v>63</v>
      </c>
    </row>
    <row r="20" spans="1:39" x14ac:dyDescent="0.25">
      <c r="A20" t="s">
        <v>57</v>
      </c>
      <c r="B20" s="1">
        <v>4356.9871262120105</v>
      </c>
      <c r="C20" s="1">
        <v>1798.2501641815368</v>
      </c>
      <c r="D20" s="1">
        <v>2558.7369620304735</v>
      </c>
      <c r="E20" s="1">
        <v>3897</v>
      </c>
      <c r="F20" s="1">
        <v>4040.666666666667</v>
      </c>
      <c r="G20" s="1">
        <v>3612.7153652392949</v>
      </c>
      <c r="H20" s="1">
        <v>5241.349823321555</v>
      </c>
      <c r="I20" s="1">
        <v>2041.6069915254238</v>
      </c>
      <c r="J20" s="1">
        <v>2561.1266774020401</v>
      </c>
      <c r="K20" s="1">
        <v>2246.75</v>
      </c>
      <c r="L20" s="1">
        <v>1027.6812957157786</v>
      </c>
      <c r="M20" s="1">
        <v>509.74489795918367</v>
      </c>
      <c r="N20" s="1">
        <v>1429.7150684931507</v>
      </c>
      <c r="O20" s="1">
        <v>924</v>
      </c>
      <c r="P20" s="1">
        <v>6216.6489118240961</v>
      </c>
      <c r="Q20" s="1">
        <v>3605.0777066269548</v>
      </c>
      <c r="R20" s="1">
        <v>3164.3599853291767</v>
      </c>
      <c r="S20" s="1">
        <v>1516</v>
      </c>
      <c r="T20" s="1">
        <v>0</v>
      </c>
      <c r="U20" s="1">
        <v>0</v>
      </c>
      <c r="V20" s="1">
        <v>0</v>
      </c>
      <c r="W20" s="1">
        <v>2321</v>
      </c>
      <c r="X20" s="1">
        <v>0</v>
      </c>
      <c r="Y20" s="1">
        <v>2793.1272443435441</v>
      </c>
      <c r="Z20">
        <v>2022</v>
      </c>
      <c r="AA20" s="2" t="s">
        <v>65</v>
      </c>
      <c r="AB20" s="2" t="s">
        <v>63</v>
      </c>
    </row>
    <row r="21" spans="1:39" x14ac:dyDescent="0.25">
      <c r="A21" t="s">
        <v>19</v>
      </c>
      <c r="B21" s="1">
        <v>4341</v>
      </c>
      <c r="C21" s="1">
        <v>1792.8330000000001</v>
      </c>
      <c r="D21" s="1">
        <v>2548.1669999999999</v>
      </c>
      <c r="E21" s="1">
        <v>0</v>
      </c>
      <c r="F21" s="1">
        <v>3586.8663484486869</v>
      </c>
      <c r="G21" s="1">
        <v>3644</v>
      </c>
      <c r="H21" s="1">
        <v>2997</v>
      </c>
      <c r="I21" s="1">
        <v>1664.5537190082644</v>
      </c>
      <c r="J21" s="1">
        <v>2348.3794002607565</v>
      </c>
      <c r="K21" s="1">
        <v>0</v>
      </c>
      <c r="L21" s="1">
        <v>1013.8163771712159</v>
      </c>
      <c r="M21" s="1">
        <v>510</v>
      </c>
      <c r="N21" s="1">
        <v>1359</v>
      </c>
      <c r="O21" s="1">
        <v>924</v>
      </c>
      <c r="P21" s="1">
        <v>6411.0724960482821</v>
      </c>
      <c r="Q21" s="1">
        <v>3531</v>
      </c>
      <c r="R21" s="1">
        <v>2742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2627.5792227291472</v>
      </c>
      <c r="Z21">
        <v>2022</v>
      </c>
      <c r="AA21" s="2" t="s">
        <v>65</v>
      </c>
      <c r="AB21" s="2" t="s">
        <v>63</v>
      </c>
    </row>
    <row r="22" spans="1:39" x14ac:dyDescent="0.25">
      <c r="A22" t="s">
        <v>20</v>
      </c>
      <c r="B22" s="1">
        <v>4834</v>
      </c>
      <c r="C22" s="1">
        <v>2001.2760000000003</v>
      </c>
      <c r="D22" s="1">
        <v>2832.7240000000002</v>
      </c>
      <c r="E22" s="1">
        <v>3897</v>
      </c>
      <c r="F22" s="1">
        <v>6483.9999999999991</v>
      </c>
      <c r="G22" s="1">
        <v>0</v>
      </c>
      <c r="H22" s="1">
        <v>6484</v>
      </c>
      <c r="I22" s="1">
        <v>1581.6265060240962</v>
      </c>
      <c r="J22" s="1">
        <v>1581.6265060240962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5089.2770556847727</v>
      </c>
      <c r="Q22" s="1">
        <v>3549</v>
      </c>
      <c r="R22" s="1">
        <v>3876</v>
      </c>
      <c r="S22" s="1">
        <v>1517</v>
      </c>
      <c r="T22" s="1">
        <v>0</v>
      </c>
      <c r="U22" s="1">
        <v>0</v>
      </c>
      <c r="V22" s="1">
        <v>0</v>
      </c>
      <c r="W22" s="1">
        <v>2372</v>
      </c>
      <c r="X22" s="1">
        <v>0</v>
      </c>
      <c r="Y22" s="1">
        <v>3546.1176975179205</v>
      </c>
      <c r="Z22">
        <v>2022</v>
      </c>
      <c r="AA22" s="2" t="s">
        <v>65</v>
      </c>
      <c r="AB22" s="2" t="s">
        <v>63</v>
      </c>
    </row>
    <row r="23" spans="1:39" x14ac:dyDescent="0.25">
      <c r="A23" t="s">
        <v>21</v>
      </c>
      <c r="B23" s="1">
        <v>4532</v>
      </c>
      <c r="C23" s="1">
        <v>1812.7999999999997</v>
      </c>
      <c r="D23" s="1">
        <v>2719.2000000000003</v>
      </c>
      <c r="E23" s="1">
        <v>0</v>
      </c>
      <c r="F23" s="1">
        <v>5234.4785276073617</v>
      </c>
      <c r="G23" s="1">
        <v>2816</v>
      </c>
      <c r="H23" s="1">
        <v>5780</v>
      </c>
      <c r="I23" s="1">
        <v>2557.5657640232107</v>
      </c>
      <c r="J23" s="1">
        <v>2804.8902714932124</v>
      </c>
      <c r="K23" s="1">
        <v>0</v>
      </c>
      <c r="L23" s="1">
        <v>1100</v>
      </c>
      <c r="M23" s="1">
        <v>500</v>
      </c>
      <c r="N23" s="1">
        <v>1438</v>
      </c>
      <c r="O23" s="1">
        <v>0</v>
      </c>
      <c r="P23" s="1">
        <v>6767.3744530110444</v>
      </c>
      <c r="Q23" s="1">
        <v>3842</v>
      </c>
      <c r="R23" s="1">
        <v>3053</v>
      </c>
      <c r="S23" s="1">
        <v>0</v>
      </c>
      <c r="T23" s="1">
        <v>0</v>
      </c>
      <c r="U23" s="1">
        <v>0</v>
      </c>
      <c r="V23" s="1">
        <v>0</v>
      </c>
      <c r="W23" s="1">
        <v>2250</v>
      </c>
      <c r="X23" s="1">
        <v>0</v>
      </c>
      <c r="Y23" s="1">
        <v>3147.1539344089883</v>
      </c>
      <c r="Z23">
        <v>2022</v>
      </c>
      <c r="AA23" s="2" t="s">
        <v>65</v>
      </c>
      <c r="AB23" s="2" t="s">
        <v>63</v>
      </c>
    </row>
    <row r="24" spans="1:39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2730.211267605634</v>
      </c>
      <c r="J24" s="1">
        <v>2785.8449612403101</v>
      </c>
      <c r="K24" s="1">
        <v>2246.75</v>
      </c>
      <c r="L24" s="1">
        <v>1355</v>
      </c>
      <c r="M24" s="1">
        <v>0</v>
      </c>
      <c r="N24" s="1">
        <v>2112</v>
      </c>
      <c r="O24" s="1">
        <v>0</v>
      </c>
      <c r="P24" s="1">
        <v>7084.9325842696635</v>
      </c>
      <c r="Q24" s="1">
        <v>3699</v>
      </c>
      <c r="R24" s="1">
        <v>3976</v>
      </c>
      <c r="S24" s="1">
        <v>0</v>
      </c>
      <c r="T24" s="1">
        <v>0</v>
      </c>
      <c r="U24" s="1">
        <v>0</v>
      </c>
      <c r="V24" s="1">
        <v>0</v>
      </c>
      <c r="W24" s="1">
        <v>3339</v>
      </c>
      <c r="X24" s="1">
        <v>0</v>
      </c>
      <c r="Y24" s="1">
        <v>3258.7487570128451</v>
      </c>
      <c r="Z24">
        <v>2022</v>
      </c>
      <c r="AA24" s="2" t="s">
        <v>65</v>
      </c>
      <c r="AB24" s="2" t="s">
        <v>63</v>
      </c>
    </row>
    <row r="25" spans="1:39" x14ac:dyDescent="0.25">
      <c r="A25" t="s">
        <v>23</v>
      </c>
      <c r="B25" s="1">
        <v>3936.6779661016949</v>
      </c>
      <c r="C25" s="1">
        <v>1643.803186440678</v>
      </c>
      <c r="D25" s="1">
        <v>2292.8747796610173</v>
      </c>
      <c r="E25" s="1">
        <v>3841.9909864797191</v>
      </c>
      <c r="F25" s="1">
        <v>4196.6209677419356</v>
      </c>
      <c r="G25" s="1">
        <v>2658.2500000000005</v>
      </c>
      <c r="H25" s="1">
        <v>4645.3125</v>
      </c>
      <c r="I25" s="1">
        <v>1671.1370427614636</v>
      </c>
      <c r="J25" s="1">
        <v>1760.2637916549986</v>
      </c>
      <c r="K25" s="1">
        <v>835.9281045751635</v>
      </c>
      <c r="L25" s="1">
        <v>465.53797468354429</v>
      </c>
      <c r="M25" s="1">
        <v>0</v>
      </c>
      <c r="N25" s="1">
        <v>1590.9999999999998</v>
      </c>
      <c r="O25" s="1">
        <v>0</v>
      </c>
      <c r="P25" s="1">
        <v>5843.6391084273164</v>
      </c>
      <c r="Q25" s="1">
        <v>3671.6891871826092</v>
      </c>
      <c r="R25" s="1">
        <v>2883.8687727825031</v>
      </c>
      <c r="S25" s="1">
        <v>0</v>
      </c>
      <c r="T25" s="1">
        <v>0</v>
      </c>
      <c r="U25" s="1">
        <v>0</v>
      </c>
      <c r="V25" s="1">
        <v>0</v>
      </c>
      <c r="W25" s="1">
        <v>2962</v>
      </c>
      <c r="X25" s="1">
        <v>2722</v>
      </c>
      <c r="Y25" s="1">
        <v>2801.3290804995672</v>
      </c>
      <c r="Z25">
        <v>2022</v>
      </c>
      <c r="AA25" s="2" t="s">
        <v>65</v>
      </c>
      <c r="AB25" s="2" t="s">
        <v>63</v>
      </c>
    </row>
    <row r="26" spans="1:39" x14ac:dyDescent="0.25">
      <c r="A26" t="s">
        <v>24</v>
      </c>
      <c r="B26" s="1">
        <v>3975</v>
      </c>
      <c r="C26" s="1">
        <v>1621.8</v>
      </c>
      <c r="D26" s="1">
        <v>2353.2000000000003</v>
      </c>
      <c r="E26" s="1">
        <v>3640</v>
      </c>
      <c r="F26" s="1">
        <v>3498.5384615384614</v>
      </c>
      <c r="G26" s="1">
        <v>1482</v>
      </c>
      <c r="H26" s="1">
        <v>5227</v>
      </c>
      <c r="I26" s="1">
        <v>1535.0202349869455</v>
      </c>
      <c r="J26" s="1">
        <v>1633.881607530775</v>
      </c>
      <c r="K26" s="1">
        <v>812.26388888888903</v>
      </c>
      <c r="L26" s="1">
        <v>465.53797468354429</v>
      </c>
      <c r="M26" s="1">
        <v>0</v>
      </c>
      <c r="N26" s="1">
        <v>1591</v>
      </c>
      <c r="O26" s="1">
        <v>0</v>
      </c>
      <c r="P26" s="1">
        <v>6333.5105113636373</v>
      </c>
      <c r="Q26" s="1">
        <v>3754</v>
      </c>
      <c r="R26" s="1">
        <v>2888</v>
      </c>
      <c r="S26" s="1">
        <v>0</v>
      </c>
      <c r="T26" s="1">
        <v>0</v>
      </c>
      <c r="U26" s="1">
        <v>0</v>
      </c>
      <c r="V26" s="1">
        <v>0</v>
      </c>
      <c r="W26" s="1">
        <v>2743</v>
      </c>
      <c r="X26" s="1">
        <v>0</v>
      </c>
      <c r="Y26" s="1">
        <v>2722.109542437016</v>
      </c>
      <c r="Z26">
        <v>2022</v>
      </c>
      <c r="AA26" s="2" t="s">
        <v>65</v>
      </c>
      <c r="AB26" s="2" t="s">
        <v>63</v>
      </c>
      <c r="AC26" s="1"/>
      <c r="AD26" s="1"/>
      <c r="AE26" s="1"/>
      <c r="AF26" s="1"/>
      <c r="AG26" s="1"/>
      <c r="AH26" s="1"/>
      <c r="AI26" s="1"/>
      <c r="AJ26" s="1"/>
      <c r="AK26" s="2"/>
      <c r="AL26" s="2"/>
      <c r="AM26" s="2"/>
    </row>
    <row r="27" spans="1:39" x14ac:dyDescent="0.25">
      <c r="A27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3796</v>
      </c>
      <c r="G27" s="1">
        <v>3796</v>
      </c>
      <c r="H27" s="1">
        <v>0</v>
      </c>
      <c r="I27" s="1">
        <v>1020.5684210526317</v>
      </c>
      <c r="J27" s="1">
        <v>1020.5684210526317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3000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2526.6273684210528</v>
      </c>
      <c r="Z27">
        <v>2022</v>
      </c>
      <c r="AA27" s="2" t="s">
        <v>65</v>
      </c>
      <c r="AB27" s="2" t="s">
        <v>63</v>
      </c>
    </row>
    <row r="28" spans="1:39" x14ac:dyDescent="0.2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3061</v>
      </c>
      <c r="G28" s="1">
        <v>3061</v>
      </c>
      <c r="H28" s="1">
        <v>0</v>
      </c>
      <c r="I28" s="1">
        <v>1214.5555555555554</v>
      </c>
      <c r="J28" s="1">
        <v>0</v>
      </c>
      <c r="K28" s="1">
        <v>1214.5555555555554</v>
      </c>
      <c r="L28" s="1">
        <v>0</v>
      </c>
      <c r="M28" s="1">
        <v>0</v>
      </c>
      <c r="N28" s="1">
        <v>0</v>
      </c>
      <c r="O28" s="1">
        <v>0</v>
      </c>
      <c r="P28" s="1">
        <v>3918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2493.8222222222221</v>
      </c>
      <c r="Z28">
        <v>2022</v>
      </c>
      <c r="AA28" s="2" t="s">
        <v>65</v>
      </c>
      <c r="AB28" s="2" t="s">
        <v>63</v>
      </c>
    </row>
    <row r="29" spans="1:39" x14ac:dyDescent="0.25">
      <c r="A29" t="s">
        <v>27</v>
      </c>
      <c r="B29" s="1">
        <v>3842</v>
      </c>
      <c r="C29" s="1">
        <v>1698.164</v>
      </c>
      <c r="D29" s="1">
        <v>2143.8360000000002</v>
      </c>
      <c r="E29" s="1">
        <v>3848.1403508771928</v>
      </c>
      <c r="F29" s="1">
        <v>4430.2127659574471</v>
      </c>
      <c r="G29" s="1">
        <v>3639</v>
      </c>
      <c r="H29" s="1">
        <v>4546</v>
      </c>
      <c r="I29" s="1">
        <v>2347.5728291316523</v>
      </c>
      <c r="J29" s="1">
        <v>2347.5728291316523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5061.7717732207484</v>
      </c>
      <c r="Q29" s="1">
        <v>3536</v>
      </c>
      <c r="R29" s="1">
        <v>2820</v>
      </c>
      <c r="S29" s="1">
        <v>0</v>
      </c>
      <c r="T29" s="1">
        <v>0</v>
      </c>
      <c r="U29" s="1">
        <v>0</v>
      </c>
      <c r="V29" s="1">
        <v>0</v>
      </c>
      <c r="W29" s="1">
        <v>3212</v>
      </c>
      <c r="X29" s="1">
        <v>2700</v>
      </c>
      <c r="Y29" s="1">
        <v>3298.0193248799064</v>
      </c>
      <c r="Z29">
        <v>2022</v>
      </c>
      <c r="AA29" s="2" t="s">
        <v>65</v>
      </c>
      <c r="AB29" s="2" t="s">
        <v>63</v>
      </c>
    </row>
    <row r="30" spans="1:39" x14ac:dyDescent="0.25">
      <c r="A30" t="s">
        <v>28</v>
      </c>
      <c r="B30" s="1">
        <v>3075</v>
      </c>
      <c r="C30" s="1">
        <v>1260.75</v>
      </c>
      <c r="D30" s="1">
        <v>1814.25</v>
      </c>
      <c r="E30" s="1">
        <v>2983.5</v>
      </c>
      <c r="F30" s="1">
        <v>8420.2555090655515</v>
      </c>
      <c r="G30" s="1">
        <v>1657</v>
      </c>
      <c r="H30" s="1">
        <v>8431.5937412685089</v>
      </c>
      <c r="I30" s="1">
        <v>1554.7360703812315</v>
      </c>
      <c r="J30" s="1">
        <v>1576.7911751856705</v>
      </c>
      <c r="K30" s="1">
        <v>1540.3449258836943</v>
      </c>
      <c r="L30" s="1">
        <v>0</v>
      </c>
      <c r="M30" s="1">
        <v>0</v>
      </c>
      <c r="N30" s="1">
        <v>1570</v>
      </c>
      <c r="O30" s="1">
        <v>0</v>
      </c>
      <c r="P30" s="1">
        <v>6257.3292023433978</v>
      </c>
      <c r="Q30" s="1">
        <v>3484.2148415786551</v>
      </c>
      <c r="R30" s="1">
        <v>3500</v>
      </c>
      <c r="S30" s="1">
        <v>2451</v>
      </c>
      <c r="T30" s="1">
        <v>1509</v>
      </c>
      <c r="U30" s="1">
        <v>2340</v>
      </c>
      <c r="V30" s="1">
        <v>4182</v>
      </c>
      <c r="W30" s="1">
        <v>3142</v>
      </c>
      <c r="X30" s="1">
        <v>3245</v>
      </c>
      <c r="Y30" s="1">
        <v>3199.7382732853357</v>
      </c>
      <c r="Z30">
        <v>2022</v>
      </c>
      <c r="AA30" s="2" t="s">
        <v>65</v>
      </c>
      <c r="AB30" s="2" t="s">
        <v>63</v>
      </c>
    </row>
    <row r="31" spans="1:39" x14ac:dyDescent="0.25">
      <c r="A31" t="s">
        <v>29</v>
      </c>
      <c r="B31" s="1">
        <v>3075</v>
      </c>
      <c r="C31" s="1">
        <v>1260.75</v>
      </c>
      <c r="D31" s="1">
        <v>1814.25</v>
      </c>
      <c r="E31" s="1">
        <v>2667</v>
      </c>
      <c r="F31" s="1">
        <v>7375.2692307692305</v>
      </c>
      <c r="G31" s="1">
        <v>1657</v>
      </c>
      <c r="H31" s="1">
        <v>7917</v>
      </c>
      <c r="I31" s="1">
        <v>1554.5609913793103</v>
      </c>
      <c r="J31" s="1">
        <v>1530.5619512195121</v>
      </c>
      <c r="K31" s="1">
        <v>1573.5563706563707</v>
      </c>
      <c r="L31" s="1">
        <v>0</v>
      </c>
      <c r="M31" s="1">
        <v>0</v>
      </c>
      <c r="N31" s="1">
        <v>0</v>
      </c>
      <c r="O31" s="1">
        <v>0</v>
      </c>
      <c r="P31" s="1">
        <v>5861.9799062290685</v>
      </c>
      <c r="Q31" s="1">
        <v>3630</v>
      </c>
      <c r="R31" s="1">
        <v>3500</v>
      </c>
      <c r="S31" s="1">
        <v>2242</v>
      </c>
      <c r="T31" s="1">
        <v>1480</v>
      </c>
      <c r="U31" s="1">
        <v>2298</v>
      </c>
      <c r="V31" s="1">
        <v>4649</v>
      </c>
      <c r="W31" s="1">
        <v>3053</v>
      </c>
      <c r="X31" s="1">
        <v>3260</v>
      </c>
      <c r="Y31" s="1">
        <v>3178.8909710659732</v>
      </c>
      <c r="Z31">
        <v>2022</v>
      </c>
      <c r="AA31" s="2" t="s">
        <v>65</v>
      </c>
      <c r="AB31" s="2" t="s">
        <v>63</v>
      </c>
    </row>
    <row r="32" spans="1:39" x14ac:dyDescent="0.25">
      <c r="A32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8321</v>
      </c>
      <c r="G32" s="1">
        <v>0</v>
      </c>
      <c r="H32" s="1">
        <v>8321</v>
      </c>
      <c r="I32" s="1">
        <v>1665.8791540785498</v>
      </c>
      <c r="J32" s="1">
        <v>1817.4316546762589</v>
      </c>
      <c r="K32" s="1">
        <v>1625.6003824091779</v>
      </c>
      <c r="L32" s="1">
        <v>0</v>
      </c>
      <c r="M32" s="1">
        <v>0</v>
      </c>
      <c r="N32" s="1">
        <v>0</v>
      </c>
      <c r="O32" s="1">
        <v>0</v>
      </c>
      <c r="P32" s="1">
        <v>8342</v>
      </c>
      <c r="Q32" s="1">
        <v>3482</v>
      </c>
      <c r="R32" s="1">
        <v>0</v>
      </c>
      <c r="S32" s="1">
        <v>0</v>
      </c>
      <c r="T32" s="1">
        <v>0</v>
      </c>
      <c r="U32" s="1">
        <v>0</v>
      </c>
      <c r="V32" s="1">
        <v>3396</v>
      </c>
      <c r="W32" s="1">
        <v>3457</v>
      </c>
      <c r="X32" s="1">
        <v>0</v>
      </c>
      <c r="Y32" s="1">
        <v>4491.9901323515551</v>
      </c>
      <c r="Z32">
        <v>2022</v>
      </c>
      <c r="AA32" s="2" t="s">
        <v>65</v>
      </c>
      <c r="AB32" s="2" t="s">
        <v>63</v>
      </c>
    </row>
    <row r="33" spans="1:28" x14ac:dyDescent="0.25">
      <c r="A33" t="s">
        <v>31</v>
      </c>
      <c r="B33" s="1">
        <v>0</v>
      </c>
      <c r="C33" s="1">
        <v>0</v>
      </c>
      <c r="D33" s="1">
        <v>0</v>
      </c>
      <c r="E33" s="1">
        <v>3300</v>
      </c>
      <c r="F33" s="1">
        <v>8460</v>
      </c>
      <c r="G33" s="1">
        <v>0</v>
      </c>
      <c r="H33" s="1">
        <v>8460</v>
      </c>
      <c r="I33" s="1">
        <v>1407.7373737373737</v>
      </c>
      <c r="J33" s="1">
        <v>2190</v>
      </c>
      <c r="K33" s="1">
        <v>1209.6962025316457</v>
      </c>
      <c r="L33" s="1">
        <v>0</v>
      </c>
      <c r="M33" s="1">
        <v>0</v>
      </c>
      <c r="N33" s="1">
        <v>1570</v>
      </c>
      <c r="O33" s="1">
        <v>0</v>
      </c>
      <c r="P33" s="1">
        <v>7012</v>
      </c>
      <c r="Q33" s="1">
        <v>3356</v>
      </c>
      <c r="R33" s="1">
        <v>0</v>
      </c>
      <c r="S33" s="1">
        <v>2517</v>
      </c>
      <c r="T33" s="1">
        <v>1510</v>
      </c>
      <c r="U33" s="1">
        <v>2460</v>
      </c>
      <c r="V33" s="1">
        <v>3213</v>
      </c>
      <c r="W33" s="1">
        <v>3186</v>
      </c>
      <c r="X33" s="1">
        <v>3222</v>
      </c>
      <c r="Y33" s="1">
        <v>3538.2289050846011</v>
      </c>
      <c r="Z33">
        <v>2022</v>
      </c>
      <c r="AA33" s="2" t="s">
        <v>65</v>
      </c>
      <c r="AB33" s="2" t="s">
        <v>63</v>
      </c>
    </row>
    <row r="34" spans="1:28" x14ac:dyDescent="0.25">
      <c r="A34" t="s">
        <v>58</v>
      </c>
      <c r="B34" s="1">
        <v>4619.8325268817207</v>
      </c>
      <c r="C34" s="1">
        <v>1889.9964327956989</v>
      </c>
      <c r="D34" s="1">
        <v>2729.8360940860216</v>
      </c>
      <c r="E34" s="1">
        <v>1023.0540540540541</v>
      </c>
      <c r="F34" s="1">
        <v>3407.2558284115644</v>
      </c>
      <c r="G34" s="1">
        <v>1999.997604216579</v>
      </c>
      <c r="H34" s="1">
        <v>6006.3247787610626</v>
      </c>
      <c r="I34" s="1">
        <v>504.21790264619398</v>
      </c>
      <c r="J34" s="1">
        <v>695.56955452309376</v>
      </c>
      <c r="K34" s="1">
        <v>482.5384615384616</v>
      </c>
      <c r="L34" s="1">
        <v>443.48778785764137</v>
      </c>
      <c r="M34" s="1">
        <v>529.9761163032191</v>
      </c>
      <c r="N34" s="1">
        <v>0</v>
      </c>
      <c r="O34" s="1">
        <v>767.61460446247452</v>
      </c>
      <c r="P34" s="1">
        <v>3605.5108519021437</v>
      </c>
      <c r="Q34" s="1">
        <v>3455.6607596057365</v>
      </c>
      <c r="R34" s="1">
        <v>1934.712145748988</v>
      </c>
      <c r="S34" s="1">
        <v>0</v>
      </c>
      <c r="T34" s="1">
        <v>0</v>
      </c>
      <c r="U34" s="1">
        <v>0</v>
      </c>
      <c r="V34" s="1">
        <v>0</v>
      </c>
      <c r="W34" s="1">
        <v>5700</v>
      </c>
      <c r="X34" s="1">
        <v>0</v>
      </c>
      <c r="Y34" s="1">
        <v>2340.916794340862</v>
      </c>
      <c r="Z34">
        <v>2022</v>
      </c>
      <c r="AA34" s="2" t="s">
        <v>65</v>
      </c>
      <c r="AB34" s="2" t="s">
        <v>63</v>
      </c>
    </row>
    <row r="35" spans="1:28" x14ac:dyDescent="0.25">
      <c r="A35" t="s">
        <v>59</v>
      </c>
      <c r="B35" s="1">
        <v>4341.7061092741314</v>
      </c>
      <c r="C35" s="1">
        <v>1792.551329003307</v>
      </c>
      <c r="D35" s="1">
        <v>2549.1547802708237</v>
      </c>
      <c r="E35" s="1">
        <v>3831.137236084453</v>
      </c>
      <c r="F35" s="1">
        <v>7981.9360153897642</v>
      </c>
      <c r="G35" s="1">
        <v>3538.9916666666663</v>
      </c>
      <c r="H35" s="1">
        <v>8317.6748830514553</v>
      </c>
      <c r="I35" s="1">
        <v>1701.0622652066183</v>
      </c>
      <c r="J35" s="1">
        <v>1899.074970866244</v>
      </c>
      <c r="K35" s="1">
        <v>1513.310100735094</v>
      </c>
      <c r="L35" s="1">
        <v>948.02331838565021</v>
      </c>
      <c r="M35" s="1">
        <v>509.74489795918367</v>
      </c>
      <c r="N35" s="1">
        <v>1448.1654676258995</v>
      </c>
      <c r="O35" s="1">
        <v>924</v>
      </c>
      <c r="P35" s="1">
        <v>6179.6632871073925</v>
      </c>
      <c r="Q35" s="1">
        <v>3568.2970127601461</v>
      </c>
      <c r="R35" s="1">
        <v>3084.8540815062556</v>
      </c>
      <c r="S35" s="1">
        <v>2359</v>
      </c>
      <c r="T35" s="1">
        <v>1509</v>
      </c>
      <c r="U35" s="1">
        <v>2340</v>
      </c>
      <c r="V35" s="1">
        <v>4182</v>
      </c>
      <c r="W35" s="1">
        <v>3108</v>
      </c>
      <c r="X35" s="1">
        <v>3193</v>
      </c>
      <c r="Y35" s="1">
        <v>3079.1455400823079</v>
      </c>
      <c r="Z35">
        <v>2022</v>
      </c>
      <c r="AA35" s="2" t="s">
        <v>65</v>
      </c>
      <c r="AB35" s="2" t="s">
        <v>63</v>
      </c>
    </row>
    <row r="36" spans="1:28" x14ac:dyDescent="0.25">
      <c r="A36" t="s">
        <v>32</v>
      </c>
      <c r="B36" s="1">
        <v>4404.7088052612362</v>
      </c>
      <c r="C36" s="1">
        <v>1814.6251194129829</v>
      </c>
      <c r="D36" s="1">
        <v>2590.083685848253</v>
      </c>
      <c r="E36" s="1">
        <v>3782.1513437057988</v>
      </c>
      <c r="F36" s="1">
        <v>7012.0061293086419</v>
      </c>
      <c r="G36" s="1">
        <v>2441.6631363170486</v>
      </c>
      <c r="H36" s="1">
        <v>8104.3949861179144</v>
      </c>
      <c r="I36" s="1">
        <v>1042.5310972102388</v>
      </c>
      <c r="J36" s="1">
        <v>1512.1810753821826</v>
      </c>
      <c r="K36" s="1">
        <v>1464.6459143968871</v>
      </c>
      <c r="L36" s="1">
        <v>488.20971460370464</v>
      </c>
      <c r="M36" s="1">
        <v>518.85320243104263</v>
      </c>
      <c r="N36" s="1">
        <v>1448.1654676258995</v>
      </c>
      <c r="O36" s="1">
        <v>770.11177644710574</v>
      </c>
      <c r="P36" s="1">
        <v>5661.6850123180293</v>
      </c>
      <c r="Q36" s="1">
        <v>3550.6439643589724</v>
      </c>
      <c r="R36" s="1">
        <v>2815.4003604287209</v>
      </c>
      <c r="S36" s="1">
        <v>2359</v>
      </c>
      <c r="T36" s="1">
        <v>1509</v>
      </c>
      <c r="U36" s="1">
        <v>2340</v>
      </c>
      <c r="V36" s="1">
        <v>4182</v>
      </c>
      <c r="W36" s="1">
        <v>3114</v>
      </c>
      <c r="X36" s="1">
        <v>3193</v>
      </c>
      <c r="Y36" s="1">
        <v>2874.7417735293325</v>
      </c>
      <c r="Z36">
        <v>2022</v>
      </c>
      <c r="AA36" s="2" t="s">
        <v>65</v>
      </c>
      <c r="AB36" s="2" t="s">
        <v>63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2389E-F363-478C-8FE0-DB1A38F4DB64}">
  <dimension ref="A1:AM25"/>
  <sheetViews>
    <sheetView topLeftCell="N1" workbookViewId="0">
      <selection activeCell="B2" sqref="B2:AJ25"/>
    </sheetView>
  </sheetViews>
  <sheetFormatPr defaultRowHeight="15" x14ac:dyDescent="0.25"/>
  <cols>
    <col min="1" max="1" width="18.140625" bestFit="1" customWidth="1"/>
    <col min="9" max="9" width="9" customWidth="1"/>
    <col min="10" max="10" width="12.5703125" bestFit="1" customWidth="1"/>
    <col min="20" max="20" width="16.7109375" bestFit="1" customWidth="1"/>
    <col min="30" max="30" width="9.5703125" bestFit="1" customWidth="1"/>
    <col min="34" max="34" width="19.5703125" bestFit="1" customWidth="1"/>
    <col min="35" max="35" width="14.42578125" bestFit="1" customWidth="1"/>
    <col min="36" max="36" width="10.7109375" bestFit="1" customWidth="1"/>
    <col min="38" max="38" width="11.5703125" bestFit="1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58</v>
      </c>
      <c r="AI1" t="s">
        <v>59</v>
      </c>
      <c r="AJ1" t="s">
        <v>32</v>
      </c>
      <c r="AK1" t="s">
        <v>60</v>
      </c>
      <c r="AL1" t="s">
        <v>61</v>
      </c>
      <c r="AM1" t="s">
        <v>62</v>
      </c>
    </row>
    <row r="2" spans="1:39" x14ac:dyDescent="0.25">
      <c r="A2" t="s">
        <v>35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2">
        <v>2022</v>
      </c>
      <c r="AL2" s="2" t="s">
        <v>65</v>
      </c>
      <c r="AM2" s="2" t="s">
        <v>63</v>
      </c>
    </row>
    <row r="3" spans="1:39" x14ac:dyDescent="0.25">
      <c r="A3" t="s">
        <v>36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2">
        <v>2022</v>
      </c>
      <c r="AL3" s="2" t="s">
        <v>65</v>
      </c>
      <c r="AM3" s="2" t="s">
        <v>63</v>
      </c>
    </row>
    <row r="4" spans="1:39" x14ac:dyDescent="0.25">
      <c r="A4" t="s">
        <v>37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2">
        <v>2022</v>
      </c>
      <c r="AL4" s="2" t="s">
        <v>65</v>
      </c>
      <c r="AM4" s="2" t="s">
        <v>63</v>
      </c>
    </row>
    <row r="5" spans="1:39" x14ac:dyDescent="0.25">
      <c r="A5" t="s">
        <v>33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2">
        <v>2022</v>
      </c>
      <c r="AL5" s="2" t="s">
        <v>65</v>
      </c>
      <c r="AM5" s="2" t="s">
        <v>63</v>
      </c>
    </row>
    <row r="6" spans="1:39" x14ac:dyDescent="0.25">
      <c r="A6" t="s">
        <v>38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2">
        <v>2022</v>
      </c>
      <c r="AL6" s="2" t="s">
        <v>65</v>
      </c>
      <c r="AM6" s="2" t="s">
        <v>63</v>
      </c>
    </row>
    <row r="7" spans="1:39" x14ac:dyDescent="0.25">
      <c r="A7" t="s">
        <v>34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2">
        <v>2022</v>
      </c>
      <c r="AL7" s="2" t="s">
        <v>65</v>
      </c>
      <c r="AM7" s="2" t="s">
        <v>63</v>
      </c>
    </row>
    <row r="8" spans="1:39" x14ac:dyDescent="0.25">
      <c r="A8" t="s">
        <v>39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2">
        <v>2022</v>
      </c>
      <c r="AL8" s="2" t="s">
        <v>65</v>
      </c>
      <c r="AM8" s="2" t="s">
        <v>63</v>
      </c>
    </row>
    <row r="9" spans="1:39" x14ac:dyDescent="0.25">
      <c r="A9" t="s">
        <v>40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2">
        <v>2022</v>
      </c>
      <c r="AL9" s="2" t="s">
        <v>65</v>
      </c>
      <c r="AM9" s="2" t="s">
        <v>63</v>
      </c>
    </row>
    <row r="10" spans="1:39" x14ac:dyDescent="0.25">
      <c r="A10" t="s">
        <v>41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2">
        <v>2022</v>
      </c>
      <c r="AL10" s="2" t="s">
        <v>65</v>
      </c>
      <c r="AM10" s="2" t="s">
        <v>63</v>
      </c>
    </row>
    <row r="11" spans="1:39" x14ac:dyDescent="0.25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2">
        <v>2022</v>
      </c>
      <c r="AL11" s="2" t="s">
        <v>65</v>
      </c>
      <c r="AM11" s="2" t="s">
        <v>63</v>
      </c>
    </row>
    <row r="12" spans="1:39" x14ac:dyDescent="0.25">
      <c r="A12" t="s">
        <v>43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2">
        <v>2022</v>
      </c>
      <c r="AL12" s="2" t="s">
        <v>65</v>
      </c>
      <c r="AM12" s="2" t="s">
        <v>63</v>
      </c>
    </row>
    <row r="13" spans="1:39" x14ac:dyDescent="0.25">
      <c r="A13" t="s">
        <v>44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2">
        <v>2022</v>
      </c>
      <c r="AL13" s="2" t="s">
        <v>65</v>
      </c>
      <c r="AM13" s="2" t="s">
        <v>63</v>
      </c>
    </row>
    <row r="14" spans="1:39" x14ac:dyDescent="0.25">
      <c r="A14" t="s">
        <v>45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2">
        <v>2022</v>
      </c>
      <c r="AL14" s="2" t="s">
        <v>65</v>
      </c>
      <c r="AM14" s="2" t="s">
        <v>63</v>
      </c>
    </row>
    <row r="15" spans="1:39" x14ac:dyDescent="0.25">
      <c r="A15" t="s">
        <v>46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2">
        <v>2022</v>
      </c>
      <c r="AL15" s="2" t="s">
        <v>65</v>
      </c>
      <c r="AM15" s="2" t="s">
        <v>63</v>
      </c>
    </row>
    <row r="16" spans="1:39" x14ac:dyDescent="0.25">
      <c r="A16" t="s">
        <v>47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2">
        <v>2022</v>
      </c>
      <c r="AL16" s="2" t="s">
        <v>65</v>
      </c>
      <c r="AM16" s="2" t="s">
        <v>63</v>
      </c>
    </row>
    <row r="17" spans="1:39" x14ac:dyDescent="0.25">
      <c r="A17" t="s">
        <v>48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2">
        <v>2022</v>
      </c>
      <c r="AL17" s="2" t="s">
        <v>65</v>
      </c>
      <c r="AM17" s="2" t="s">
        <v>63</v>
      </c>
    </row>
    <row r="18" spans="1:39" x14ac:dyDescent="0.25">
      <c r="A18" t="s">
        <v>49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2">
        <v>2022</v>
      </c>
      <c r="AL18" s="2" t="s">
        <v>65</v>
      </c>
      <c r="AM18" s="2" t="s">
        <v>63</v>
      </c>
    </row>
    <row r="19" spans="1:39" x14ac:dyDescent="0.25">
      <c r="A19" t="s">
        <v>50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2">
        <v>2022</v>
      </c>
      <c r="AL19" s="2" t="s">
        <v>65</v>
      </c>
      <c r="AM19" s="2" t="s">
        <v>63</v>
      </c>
    </row>
    <row r="20" spans="1:39" x14ac:dyDescent="0.25">
      <c r="A20" t="s">
        <v>51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2">
        <v>2022</v>
      </c>
      <c r="AL20" s="2" t="s">
        <v>65</v>
      </c>
      <c r="AM20" s="2" t="s">
        <v>63</v>
      </c>
    </row>
    <row r="21" spans="1:39" x14ac:dyDescent="0.25">
      <c r="A21" t="s">
        <v>52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2">
        <v>2022</v>
      </c>
      <c r="AL21" s="2" t="s">
        <v>65</v>
      </c>
      <c r="AM21" s="2" t="s">
        <v>63</v>
      </c>
    </row>
    <row r="22" spans="1:39" x14ac:dyDescent="0.25">
      <c r="A22" t="s">
        <v>53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2">
        <v>2022</v>
      </c>
      <c r="AL22" s="2" t="s">
        <v>65</v>
      </c>
      <c r="AM22" s="2" t="s">
        <v>63</v>
      </c>
    </row>
    <row r="23" spans="1:39" x14ac:dyDescent="0.25">
      <c r="A23" t="s">
        <v>54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2">
        <v>2022</v>
      </c>
      <c r="AL23" s="2" t="s">
        <v>65</v>
      </c>
      <c r="AM23" s="2" t="s">
        <v>63</v>
      </c>
    </row>
    <row r="24" spans="1:39" x14ac:dyDescent="0.25">
      <c r="A24" t="s">
        <v>55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2">
        <v>2022</v>
      </c>
      <c r="AL24" s="2" t="s">
        <v>65</v>
      </c>
      <c r="AM24" s="2" t="s">
        <v>63</v>
      </c>
    </row>
    <row r="25" spans="1:39" x14ac:dyDescent="0.25">
      <c r="A25" t="s">
        <v>56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2">
        <v>2022</v>
      </c>
      <c r="AL25" s="2" t="s">
        <v>65</v>
      </c>
      <c r="AM25" s="2" t="s">
        <v>63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56A1E-82E7-45AE-A2B0-C510B7D63887}">
  <dimension ref="A1:AM36"/>
  <sheetViews>
    <sheetView workbookViewId="0">
      <selection activeCell="B2" sqref="B2:Y36"/>
    </sheetView>
  </sheetViews>
  <sheetFormatPr defaultRowHeight="15" x14ac:dyDescent="0.25"/>
  <cols>
    <col min="1" max="1" width="18.140625" bestFit="1" customWidth="1"/>
    <col min="2" max="2" width="18.140625" customWidth="1"/>
    <col min="3" max="3" width="19.140625" customWidth="1"/>
    <col min="4" max="4" width="20.140625" customWidth="1"/>
    <col min="5" max="5" width="13.85546875" customWidth="1"/>
    <col min="6" max="6" width="15.140625" customWidth="1"/>
    <col min="7" max="7" width="18.5703125" customWidth="1"/>
    <col min="8" max="8" width="18.42578125" customWidth="1"/>
    <col min="9" max="9" width="15.140625" customWidth="1"/>
    <col min="10" max="11" width="15.28515625" customWidth="1"/>
    <col min="12" max="12" width="15.140625" customWidth="1"/>
    <col min="13" max="13" width="12.42578125" customWidth="1"/>
    <col min="14" max="14" width="11.85546875" customWidth="1"/>
    <col min="15" max="15" width="12.28515625" customWidth="1"/>
    <col min="16" max="17" width="9.5703125" bestFit="1" customWidth="1"/>
    <col min="18" max="18" width="9.5703125" customWidth="1"/>
    <col min="20" max="20" width="16.42578125" customWidth="1"/>
    <col min="21" max="21" width="10.7109375" customWidth="1"/>
    <col min="22" max="22" width="10.42578125" customWidth="1"/>
    <col min="24" max="24" width="11.7109375" customWidth="1"/>
    <col min="25" max="25" width="10.85546875" customWidth="1"/>
    <col min="27" max="27" width="11.5703125" bestFit="1" customWidth="1"/>
    <col min="30" max="31" width="9.5703125" bestFit="1" customWidth="1"/>
    <col min="33" max="33" width="9.5703125" bestFit="1" customWidth="1"/>
    <col min="34" max="34" width="19.140625" customWidth="1"/>
    <col min="35" max="35" width="14.28515625" customWidth="1"/>
    <col min="36" max="36" width="9.5703125" bestFit="1" customWidth="1"/>
    <col min="38" max="38" width="9.7109375" bestFit="1" customWidth="1"/>
  </cols>
  <sheetData>
    <row r="1" spans="1:28" x14ac:dyDescent="0.25">
      <c r="A1" t="s">
        <v>64</v>
      </c>
      <c r="B1" t="s">
        <v>35</v>
      </c>
      <c r="C1" t="s">
        <v>36</v>
      </c>
      <c r="D1" t="s">
        <v>37</v>
      </c>
      <c r="E1" t="s">
        <v>33</v>
      </c>
      <c r="F1" t="s">
        <v>38</v>
      </c>
      <c r="G1" t="s">
        <v>34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60</v>
      </c>
      <c r="AA1" t="s">
        <v>61</v>
      </c>
      <c r="AB1" t="s">
        <v>62</v>
      </c>
    </row>
    <row r="2" spans="1:28" x14ac:dyDescent="0.25">
      <c r="A2" t="s">
        <v>1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>
        <v>2022</v>
      </c>
      <c r="AA2" s="2" t="s">
        <v>65</v>
      </c>
      <c r="AB2" s="2" t="s">
        <v>63</v>
      </c>
    </row>
    <row r="3" spans="1:28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>
        <v>2022</v>
      </c>
      <c r="AA3" s="2" t="s">
        <v>65</v>
      </c>
      <c r="AB3" s="2" t="s">
        <v>63</v>
      </c>
    </row>
    <row r="4" spans="1:28" x14ac:dyDescent="0.25">
      <c r="A4" t="s">
        <v>3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>
        <v>2022</v>
      </c>
      <c r="AA4" s="2" t="s">
        <v>65</v>
      </c>
      <c r="AB4" s="2" t="s">
        <v>63</v>
      </c>
    </row>
    <row r="5" spans="1:28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>
        <v>2022</v>
      </c>
      <c r="AA5" s="2" t="s">
        <v>65</v>
      </c>
      <c r="AB5" s="2" t="s">
        <v>63</v>
      </c>
    </row>
    <row r="6" spans="1:28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>
        <v>2022</v>
      </c>
      <c r="AA6" s="2" t="s">
        <v>65</v>
      </c>
      <c r="AB6" s="2" t="s">
        <v>63</v>
      </c>
    </row>
    <row r="7" spans="1:28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>
        <v>2022</v>
      </c>
      <c r="AA7" s="2" t="s">
        <v>65</v>
      </c>
      <c r="AB7" s="2" t="s">
        <v>63</v>
      </c>
    </row>
    <row r="8" spans="1:28" x14ac:dyDescent="0.25">
      <c r="A8" t="s">
        <v>7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>
        <v>2022</v>
      </c>
      <c r="AA8" s="2" t="s">
        <v>65</v>
      </c>
      <c r="AB8" s="2" t="s">
        <v>63</v>
      </c>
    </row>
    <row r="9" spans="1:28" x14ac:dyDescent="0.25">
      <c r="A9" t="s">
        <v>8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>
        <v>2022</v>
      </c>
      <c r="AA9" s="2" t="s">
        <v>65</v>
      </c>
      <c r="AB9" s="2" t="s">
        <v>63</v>
      </c>
    </row>
    <row r="10" spans="1:28" x14ac:dyDescent="0.25">
      <c r="A10" t="s">
        <v>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>
        <v>2022</v>
      </c>
      <c r="AA10" s="2" t="s">
        <v>65</v>
      </c>
      <c r="AB10" s="2" t="s">
        <v>63</v>
      </c>
    </row>
    <row r="11" spans="1:28" x14ac:dyDescent="0.25">
      <c r="A11" t="s">
        <v>10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>
        <v>2022</v>
      </c>
      <c r="AA11" s="2" t="s">
        <v>65</v>
      </c>
      <c r="AB11" s="2" t="s">
        <v>63</v>
      </c>
    </row>
    <row r="12" spans="1:28" x14ac:dyDescent="0.25">
      <c r="A12" t="s">
        <v>11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>
        <v>2022</v>
      </c>
      <c r="AA12" s="2" t="s">
        <v>65</v>
      </c>
      <c r="AB12" s="2" t="s">
        <v>63</v>
      </c>
    </row>
    <row r="13" spans="1:28" x14ac:dyDescent="0.25">
      <c r="A13" t="s">
        <v>12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>
        <v>2022</v>
      </c>
      <c r="AA13" s="2" t="s">
        <v>65</v>
      </c>
      <c r="AB13" s="2" t="s">
        <v>63</v>
      </c>
    </row>
    <row r="14" spans="1:28" x14ac:dyDescent="0.25">
      <c r="A14" t="s">
        <v>13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>
        <v>2022</v>
      </c>
      <c r="AA14" s="2" t="s">
        <v>65</v>
      </c>
      <c r="AB14" s="2" t="s">
        <v>63</v>
      </c>
    </row>
    <row r="15" spans="1:28" x14ac:dyDescent="0.25">
      <c r="A15" t="s">
        <v>14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>
        <v>2022</v>
      </c>
      <c r="AA15" s="2" t="s">
        <v>65</v>
      </c>
      <c r="AB15" s="2" t="s">
        <v>63</v>
      </c>
    </row>
    <row r="16" spans="1:28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>
        <v>2022</v>
      </c>
      <c r="AA16" s="2" t="s">
        <v>65</v>
      </c>
      <c r="AB16" s="2" t="s">
        <v>63</v>
      </c>
    </row>
    <row r="17" spans="1:39" x14ac:dyDescent="0.25">
      <c r="A17" t="s">
        <v>16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>
        <v>2022</v>
      </c>
      <c r="AA17" s="2" t="s">
        <v>65</v>
      </c>
      <c r="AB17" s="2" t="s">
        <v>63</v>
      </c>
    </row>
    <row r="18" spans="1:39" x14ac:dyDescent="0.25">
      <c r="A18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>
        <v>2022</v>
      </c>
      <c r="AA18" s="2" t="s">
        <v>65</v>
      </c>
      <c r="AB18" s="2" t="s">
        <v>63</v>
      </c>
    </row>
    <row r="19" spans="1:39" x14ac:dyDescent="0.25">
      <c r="A19" t="s">
        <v>18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>
        <v>2022</v>
      </c>
      <c r="AA19" s="2" t="s">
        <v>65</v>
      </c>
      <c r="AB19" s="2" t="s">
        <v>63</v>
      </c>
    </row>
    <row r="20" spans="1:39" x14ac:dyDescent="0.25">
      <c r="A20" t="s">
        <v>57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>
        <v>2022</v>
      </c>
      <c r="AA20" s="2" t="s">
        <v>65</v>
      </c>
      <c r="AB20" s="2" t="s">
        <v>63</v>
      </c>
    </row>
    <row r="21" spans="1:39" x14ac:dyDescent="0.25">
      <c r="A21" t="s">
        <v>19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>
        <v>2022</v>
      </c>
      <c r="AA21" s="2" t="s">
        <v>65</v>
      </c>
      <c r="AB21" s="2" t="s">
        <v>63</v>
      </c>
    </row>
    <row r="22" spans="1:39" x14ac:dyDescent="0.25">
      <c r="A22" t="s">
        <v>20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>
        <v>2022</v>
      </c>
      <c r="AA22" s="2" t="s">
        <v>65</v>
      </c>
      <c r="AB22" s="2" t="s">
        <v>63</v>
      </c>
    </row>
    <row r="23" spans="1:39" x14ac:dyDescent="0.25">
      <c r="A23" t="s">
        <v>21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>
        <v>2022</v>
      </c>
      <c r="AA23" s="2" t="s">
        <v>65</v>
      </c>
      <c r="AB23" s="2" t="s">
        <v>63</v>
      </c>
    </row>
    <row r="24" spans="1:39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>
        <v>2022</v>
      </c>
      <c r="AA24" s="2" t="s">
        <v>65</v>
      </c>
      <c r="AB24" s="2" t="s">
        <v>63</v>
      </c>
    </row>
    <row r="25" spans="1:39" x14ac:dyDescent="0.25">
      <c r="A25" t="s">
        <v>23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>
        <v>2022</v>
      </c>
      <c r="AA25" s="2" t="s">
        <v>65</v>
      </c>
      <c r="AB25" s="2" t="s">
        <v>63</v>
      </c>
    </row>
    <row r="26" spans="1:39" x14ac:dyDescent="0.25">
      <c r="A26" t="s">
        <v>24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>
        <v>2022</v>
      </c>
      <c r="AA26" s="2" t="s">
        <v>65</v>
      </c>
      <c r="AB26" s="2" t="s">
        <v>63</v>
      </c>
      <c r="AC26" s="1"/>
      <c r="AD26" s="1"/>
      <c r="AE26" s="1"/>
      <c r="AF26" s="1"/>
      <c r="AG26" s="1"/>
      <c r="AH26" s="1"/>
      <c r="AI26" s="1"/>
      <c r="AJ26" s="1"/>
      <c r="AK26" s="2"/>
      <c r="AL26" s="2"/>
      <c r="AM26" s="2"/>
    </row>
    <row r="27" spans="1:39" x14ac:dyDescent="0.25">
      <c r="A27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>
        <v>2022</v>
      </c>
      <c r="AA27" s="2" t="s">
        <v>65</v>
      </c>
      <c r="AB27" s="2" t="s">
        <v>63</v>
      </c>
    </row>
    <row r="28" spans="1:39" x14ac:dyDescent="0.2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>
        <v>2022</v>
      </c>
      <c r="AA28" s="2" t="s">
        <v>65</v>
      </c>
      <c r="AB28" s="2" t="s">
        <v>63</v>
      </c>
    </row>
    <row r="29" spans="1:39" x14ac:dyDescent="0.25">
      <c r="A29" t="s">
        <v>27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>
        <v>2022</v>
      </c>
      <c r="AA29" s="2" t="s">
        <v>65</v>
      </c>
      <c r="AB29" s="2" t="s">
        <v>63</v>
      </c>
    </row>
    <row r="30" spans="1:39" x14ac:dyDescent="0.25">
      <c r="A30" t="s">
        <v>28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>
        <v>2022</v>
      </c>
      <c r="AA30" s="2" t="s">
        <v>65</v>
      </c>
      <c r="AB30" s="2" t="s">
        <v>63</v>
      </c>
    </row>
    <row r="31" spans="1:39" x14ac:dyDescent="0.25">
      <c r="A31" t="s">
        <v>29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>
        <v>2022</v>
      </c>
      <c r="AA31" s="2" t="s">
        <v>65</v>
      </c>
      <c r="AB31" s="2" t="s">
        <v>63</v>
      </c>
    </row>
    <row r="32" spans="1:39" x14ac:dyDescent="0.25">
      <c r="A32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>
        <v>2022</v>
      </c>
      <c r="AA32" s="2" t="s">
        <v>65</v>
      </c>
      <c r="AB32" s="2" t="s">
        <v>63</v>
      </c>
    </row>
    <row r="33" spans="1:28" x14ac:dyDescent="0.25">
      <c r="A33" t="s">
        <v>31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>
        <v>2022</v>
      </c>
      <c r="AA33" s="2" t="s">
        <v>65</v>
      </c>
      <c r="AB33" s="2" t="s">
        <v>63</v>
      </c>
    </row>
    <row r="34" spans="1:28" x14ac:dyDescent="0.25">
      <c r="A34" t="s">
        <v>58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>
        <v>2022</v>
      </c>
      <c r="AA34" s="2" t="s">
        <v>65</v>
      </c>
      <c r="AB34" s="2" t="s">
        <v>63</v>
      </c>
    </row>
    <row r="35" spans="1:28" x14ac:dyDescent="0.25">
      <c r="A35" t="s">
        <v>59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>
        <v>2022</v>
      </c>
      <c r="AA35" s="2" t="s">
        <v>65</v>
      </c>
      <c r="AB35" s="2" t="s">
        <v>63</v>
      </c>
    </row>
    <row r="36" spans="1:28" x14ac:dyDescent="0.25">
      <c r="A36" t="s">
        <v>32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>
        <v>2022</v>
      </c>
      <c r="AA36" s="2" t="s">
        <v>65</v>
      </c>
      <c r="AB36" s="2" t="s">
        <v>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AREA_POR_PRODUTO</vt:lpstr>
      <vt:lpstr>AREA_POR_REGIAO</vt:lpstr>
      <vt:lpstr>PRODUTIVIDADE_POR_PRODUTO</vt:lpstr>
      <vt:lpstr>PRODUTIVIDADE_POR_REGIAO</vt:lpstr>
      <vt:lpstr>PRODUCAO_POR_PRODUTO</vt:lpstr>
      <vt:lpstr>PRODUCAO_POR_REGIAO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2025-11-06T03:11:04Z</dcterms:modified>
</cp:coreProperties>
</file>